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3.122\ihracat\BY\Serkan\Project Enterprise\MISSION IMPOSSIBLE\"/>
    </mc:Choice>
  </mc:AlternateContent>
  <bookViews>
    <workbookView xWindow="0" yWindow="0" windowWidth="28800" windowHeight="11910"/>
  </bookViews>
  <sheets>
    <sheet name="TR" sheetId="1" r:id="rId1"/>
  </sheets>
  <definedNames>
    <definedName name="_xlnm._FilterDatabase" localSheetId="0" hidden="1">TR!$A$1:$V$233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3" i="1" l="1"/>
  <c r="R233" i="1"/>
  <c r="L233" i="1"/>
  <c r="K233" i="1"/>
  <c r="S232" i="1"/>
  <c r="R232" i="1"/>
  <c r="L232" i="1"/>
  <c r="K232" i="1"/>
  <c r="S231" i="1"/>
  <c r="R231" i="1"/>
  <c r="L231" i="1"/>
  <c r="K231" i="1"/>
  <c r="S230" i="1"/>
  <c r="R230" i="1"/>
  <c r="L230" i="1"/>
  <c r="K230" i="1"/>
  <c r="S229" i="1"/>
  <c r="R229" i="1"/>
  <c r="L229" i="1"/>
  <c r="K229" i="1"/>
  <c r="S228" i="1"/>
  <c r="R228" i="1"/>
  <c r="L228" i="1"/>
  <c r="K228" i="1"/>
  <c r="S227" i="1"/>
  <c r="R227" i="1"/>
  <c r="L227" i="1"/>
  <c r="K227" i="1"/>
  <c r="S226" i="1"/>
  <c r="R226" i="1"/>
  <c r="L226" i="1"/>
  <c r="K226" i="1"/>
  <c r="S225" i="1"/>
  <c r="R225" i="1"/>
  <c r="L225" i="1"/>
  <c r="K225" i="1"/>
  <c r="S224" i="1"/>
  <c r="R224" i="1"/>
  <c r="L224" i="1"/>
  <c r="K224" i="1"/>
  <c r="S223" i="1"/>
  <c r="R223" i="1"/>
  <c r="L223" i="1"/>
  <c r="K223" i="1"/>
  <c r="S222" i="1"/>
  <c r="R222" i="1"/>
  <c r="L222" i="1"/>
  <c r="K222" i="1"/>
  <c r="S221" i="1"/>
  <c r="R221" i="1"/>
  <c r="L221" i="1"/>
  <c r="K221" i="1"/>
  <c r="S220" i="1"/>
  <c r="R220" i="1"/>
  <c r="L220" i="1"/>
  <c r="K220" i="1"/>
  <c r="S219" i="1"/>
  <c r="R219" i="1"/>
  <c r="L219" i="1"/>
  <c r="K219" i="1"/>
  <c r="S218" i="1"/>
  <c r="R218" i="1"/>
  <c r="L218" i="1"/>
  <c r="K218" i="1"/>
  <c r="S217" i="1"/>
  <c r="R217" i="1"/>
  <c r="L217" i="1"/>
  <c r="K217" i="1"/>
  <c r="S216" i="1"/>
  <c r="R216" i="1"/>
  <c r="L216" i="1"/>
  <c r="K216" i="1"/>
  <c r="S215" i="1"/>
  <c r="R215" i="1"/>
  <c r="L215" i="1"/>
  <c r="K215" i="1"/>
  <c r="S214" i="1"/>
  <c r="R214" i="1"/>
  <c r="L214" i="1"/>
  <c r="K214" i="1"/>
  <c r="S213" i="1"/>
  <c r="R213" i="1"/>
  <c r="L213" i="1"/>
  <c r="K213" i="1"/>
  <c r="S212" i="1"/>
  <c r="R212" i="1"/>
  <c r="L212" i="1"/>
  <c r="K212" i="1"/>
  <c r="S211" i="1"/>
  <c r="R211" i="1"/>
  <c r="L211" i="1"/>
  <c r="K211" i="1"/>
  <c r="S210" i="1"/>
  <c r="R210" i="1"/>
  <c r="L210" i="1"/>
  <c r="K210" i="1"/>
  <c r="S209" i="1"/>
  <c r="R209" i="1"/>
  <c r="L209" i="1"/>
  <c r="K209" i="1"/>
  <c r="S208" i="1"/>
  <c r="R208" i="1"/>
  <c r="L208" i="1"/>
  <c r="K208" i="1"/>
  <c r="S207" i="1"/>
  <c r="R207" i="1"/>
  <c r="L207" i="1"/>
  <c r="K207" i="1"/>
  <c r="S206" i="1"/>
  <c r="R206" i="1"/>
  <c r="L206" i="1"/>
  <c r="K206" i="1"/>
  <c r="S205" i="1"/>
  <c r="R205" i="1"/>
  <c r="L205" i="1"/>
  <c r="K205" i="1"/>
  <c r="S204" i="1"/>
  <c r="R204" i="1"/>
  <c r="L204" i="1"/>
  <c r="K204" i="1"/>
  <c r="S203" i="1"/>
  <c r="R203" i="1"/>
  <c r="L203" i="1"/>
  <c r="K203" i="1"/>
  <c r="S202" i="1"/>
  <c r="R202" i="1"/>
  <c r="L202" i="1"/>
  <c r="K202" i="1"/>
  <c r="S201" i="1"/>
  <c r="R201" i="1"/>
  <c r="L201" i="1"/>
  <c r="K201" i="1"/>
  <c r="S200" i="1"/>
  <c r="R200" i="1"/>
  <c r="L200" i="1"/>
  <c r="K200" i="1"/>
  <c r="S199" i="1"/>
  <c r="R199" i="1"/>
  <c r="L199" i="1"/>
  <c r="K199" i="1"/>
  <c r="S198" i="1"/>
  <c r="R198" i="1"/>
  <c r="L198" i="1"/>
  <c r="K198" i="1"/>
  <c r="S197" i="1"/>
  <c r="R197" i="1"/>
  <c r="L197" i="1"/>
  <c r="K197" i="1"/>
  <c r="S196" i="1"/>
  <c r="R196" i="1"/>
  <c r="L196" i="1"/>
  <c r="K196" i="1"/>
  <c r="S195" i="1"/>
  <c r="R195" i="1"/>
  <c r="L195" i="1"/>
  <c r="K195" i="1"/>
  <c r="S194" i="1"/>
  <c r="R194" i="1"/>
  <c r="L194" i="1"/>
  <c r="K194" i="1"/>
  <c r="S193" i="1"/>
  <c r="R193" i="1"/>
  <c r="L193" i="1"/>
  <c r="K193" i="1"/>
  <c r="S192" i="1"/>
  <c r="R192" i="1"/>
  <c r="L192" i="1"/>
  <c r="K192" i="1"/>
  <c r="S191" i="1"/>
  <c r="R191" i="1"/>
  <c r="L191" i="1"/>
  <c r="K191" i="1"/>
  <c r="S190" i="1"/>
  <c r="R190" i="1"/>
  <c r="L190" i="1"/>
  <c r="K190" i="1"/>
  <c r="S189" i="1"/>
  <c r="R189" i="1"/>
  <c r="L189" i="1"/>
  <c r="K189" i="1"/>
  <c r="S188" i="1"/>
  <c r="R188" i="1"/>
  <c r="L188" i="1"/>
  <c r="K188" i="1"/>
  <c r="S187" i="1"/>
  <c r="R187" i="1"/>
  <c r="L187" i="1"/>
  <c r="K187" i="1"/>
  <c r="S186" i="1"/>
  <c r="R186" i="1"/>
  <c r="L186" i="1"/>
  <c r="K186" i="1"/>
  <c r="S185" i="1"/>
  <c r="R185" i="1"/>
  <c r="L185" i="1"/>
  <c r="K185" i="1"/>
  <c r="S184" i="1"/>
  <c r="R184" i="1"/>
  <c r="L184" i="1"/>
  <c r="K184" i="1"/>
  <c r="S183" i="1"/>
  <c r="R183" i="1"/>
  <c r="L183" i="1"/>
  <c r="K183" i="1"/>
  <c r="S182" i="1"/>
  <c r="R182" i="1"/>
  <c r="L182" i="1"/>
  <c r="K182" i="1"/>
  <c r="S181" i="1"/>
  <c r="R181" i="1"/>
  <c r="L181" i="1"/>
  <c r="K181" i="1"/>
  <c r="S180" i="1"/>
  <c r="R180" i="1"/>
  <c r="L180" i="1"/>
  <c r="K180" i="1"/>
  <c r="S179" i="1"/>
  <c r="R179" i="1"/>
  <c r="L179" i="1"/>
  <c r="K179" i="1"/>
  <c r="S178" i="1"/>
  <c r="R178" i="1"/>
  <c r="L178" i="1"/>
  <c r="K178" i="1"/>
  <c r="S177" i="1"/>
  <c r="R177" i="1"/>
  <c r="L177" i="1"/>
  <c r="K177" i="1"/>
  <c r="S176" i="1"/>
  <c r="R176" i="1"/>
  <c r="L176" i="1"/>
  <c r="K176" i="1"/>
  <c r="S175" i="1"/>
  <c r="R175" i="1"/>
  <c r="L175" i="1"/>
  <c r="K175" i="1"/>
  <c r="S174" i="1"/>
  <c r="R174" i="1"/>
  <c r="L174" i="1"/>
  <c r="K174" i="1"/>
  <c r="S173" i="1"/>
  <c r="R173" i="1"/>
  <c r="L173" i="1"/>
  <c r="K173" i="1"/>
  <c r="S172" i="1"/>
  <c r="R172" i="1"/>
  <c r="L172" i="1"/>
  <c r="K172" i="1"/>
  <c r="S171" i="1"/>
  <c r="R171" i="1"/>
  <c r="L171" i="1"/>
  <c r="K171" i="1"/>
  <c r="S170" i="1"/>
  <c r="R170" i="1"/>
  <c r="L170" i="1"/>
  <c r="K170" i="1"/>
  <c r="S169" i="1"/>
  <c r="R169" i="1"/>
  <c r="L169" i="1"/>
  <c r="K169" i="1"/>
  <c r="S168" i="1"/>
  <c r="R168" i="1"/>
  <c r="L168" i="1"/>
  <c r="K168" i="1"/>
  <c r="S167" i="1"/>
  <c r="R167" i="1"/>
  <c r="L167" i="1"/>
  <c r="K167" i="1"/>
  <c r="S166" i="1"/>
  <c r="R166" i="1"/>
  <c r="L166" i="1"/>
  <c r="K166" i="1"/>
  <c r="S165" i="1"/>
  <c r="R165" i="1"/>
  <c r="L165" i="1"/>
  <c r="K165" i="1"/>
  <c r="S164" i="1"/>
  <c r="R164" i="1"/>
  <c r="L164" i="1"/>
  <c r="K164" i="1"/>
  <c r="S163" i="1"/>
  <c r="R163" i="1"/>
  <c r="L163" i="1"/>
  <c r="K163" i="1"/>
  <c r="S162" i="1"/>
  <c r="R162" i="1"/>
  <c r="L162" i="1"/>
  <c r="K162" i="1"/>
  <c r="S161" i="1"/>
  <c r="R161" i="1"/>
  <c r="L161" i="1"/>
  <c r="K161" i="1"/>
  <c r="S160" i="1"/>
  <c r="R160" i="1"/>
  <c r="L160" i="1"/>
  <c r="K160" i="1"/>
  <c r="S159" i="1"/>
  <c r="R159" i="1"/>
  <c r="L159" i="1"/>
  <c r="K159" i="1"/>
  <c r="S158" i="1"/>
  <c r="R158" i="1"/>
  <c r="L158" i="1"/>
  <c r="K158" i="1"/>
  <c r="S157" i="1"/>
  <c r="R157" i="1"/>
  <c r="L157" i="1"/>
  <c r="K157" i="1"/>
  <c r="S156" i="1"/>
  <c r="R156" i="1"/>
  <c r="L156" i="1"/>
  <c r="K156" i="1"/>
  <c r="S155" i="1"/>
  <c r="R155" i="1"/>
  <c r="L155" i="1"/>
  <c r="K155" i="1"/>
  <c r="S154" i="1"/>
  <c r="R154" i="1"/>
  <c r="L154" i="1"/>
  <c r="K154" i="1"/>
  <c r="S153" i="1"/>
  <c r="R153" i="1"/>
  <c r="L153" i="1"/>
  <c r="K153" i="1"/>
  <c r="S152" i="1"/>
  <c r="R152" i="1"/>
  <c r="L152" i="1"/>
  <c r="K152" i="1"/>
  <c r="S151" i="1"/>
  <c r="R151" i="1"/>
  <c r="L151" i="1"/>
  <c r="K151" i="1"/>
  <c r="S150" i="1"/>
  <c r="R150" i="1"/>
  <c r="L150" i="1"/>
  <c r="K150" i="1"/>
  <c r="S149" i="1"/>
  <c r="R149" i="1"/>
  <c r="L149" i="1"/>
  <c r="K149" i="1"/>
  <c r="S148" i="1"/>
  <c r="R148" i="1"/>
  <c r="L148" i="1"/>
  <c r="K148" i="1"/>
  <c r="S147" i="1"/>
  <c r="R147" i="1"/>
  <c r="L147" i="1"/>
  <c r="K147" i="1"/>
  <c r="S146" i="1"/>
  <c r="R146" i="1"/>
  <c r="L146" i="1"/>
  <c r="K146" i="1"/>
  <c r="S145" i="1"/>
  <c r="R145" i="1"/>
  <c r="L145" i="1"/>
  <c r="K145" i="1"/>
  <c r="S144" i="1"/>
  <c r="R144" i="1"/>
  <c r="L144" i="1"/>
  <c r="K144" i="1"/>
  <c r="S143" i="1"/>
  <c r="R143" i="1"/>
  <c r="L143" i="1"/>
  <c r="K143" i="1"/>
  <c r="S142" i="1"/>
  <c r="R142" i="1"/>
  <c r="L142" i="1"/>
  <c r="K142" i="1"/>
  <c r="S141" i="1"/>
  <c r="R141" i="1"/>
  <c r="L141" i="1"/>
  <c r="K141" i="1"/>
  <c r="S140" i="1"/>
  <c r="R140" i="1"/>
  <c r="L140" i="1"/>
  <c r="K140" i="1"/>
  <c r="S139" i="1"/>
  <c r="R139" i="1"/>
  <c r="L139" i="1"/>
  <c r="K139" i="1"/>
  <c r="S138" i="1"/>
  <c r="R138" i="1"/>
  <c r="L138" i="1"/>
  <c r="K138" i="1"/>
  <c r="S137" i="1"/>
  <c r="R137" i="1"/>
  <c r="L137" i="1"/>
  <c r="K137" i="1"/>
  <c r="S136" i="1"/>
  <c r="R136" i="1"/>
  <c r="L136" i="1"/>
  <c r="K136" i="1"/>
  <c r="S135" i="1"/>
  <c r="R135" i="1"/>
  <c r="L135" i="1"/>
  <c r="K135" i="1"/>
  <c r="S134" i="1"/>
  <c r="R134" i="1"/>
  <c r="L134" i="1"/>
  <c r="K134" i="1"/>
  <c r="S133" i="1"/>
  <c r="R133" i="1"/>
  <c r="L133" i="1"/>
  <c r="K133" i="1"/>
  <c r="S132" i="1"/>
  <c r="R132" i="1"/>
  <c r="L132" i="1"/>
  <c r="K132" i="1"/>
  <c r="S131" i="1"/>
  <c r="R131" i="1"/>
  <c r="L131" i="1"/>
  <c r="K131" i="1"/>
  <c r="S130" i="1"/>
  <c r="R130" i="1"/>
  <c r="L130" i="1"/>
  <c r="K130" i="1"/>
  <c r="S129" i="1"/>
  <c r="R129" i="1"/>
  <c r="L129" i="1"/>
  <c r="K129" i="1"/>
  <c r="S128" i="1"/>
  <c r="R128" i="1"/>
  <c r="L128" i="1"/>
  <c r="K128" i="1"/>
  <c r="S127" i="1"/>
  <c r="R127" i="1"/>
  <c r="L127" i="1"/>
  <c r="K127" i="1"/>
  <c r="S126" i="1"/>
  <c r="R126" i="1"/>
  <c r="L126" i="1"/>
  <c r="K126" i="1"/>
  <c r="S125" i="1"/>
  <c r="R125" i="1"/>
  <c r="L125" i="1"/>
  <c r="K125" i="1"/>
  <c r="S124" i="1"/>
  <c r="R124" i="1"/>
  <c r="L124" i="1"/>
  <c r="K124" i="1"/>
  <c r="S123" i="1"/>
  <c r="R123" i="1"/>
  <c r="L123" i="1"/>
  <c r="K123" i="1"/>
  <c r="S122" i="1"/>
  <c r="R122" i="1"/>
  <c r="L122" i="1"/>
  <c r="K122" i="1"/>
  <c r="S121" i="1"/>
  <c r="R121" i="1"/>
  <c r="L121" i="1"/>
  <c r="K121" i="1"/>
  <c r="S120" i="1"/>
  <c r="R120" i="1"/>
  <c r="L120" i="1"/>
  <c r="K120" i="1"/>
  <c r="S119" i="1"/>
  <c r="R119" i="1"/>
  <c r="L119" i="1"/>
  <c r="K119" i="1"/>
  <c r="S118" i="1"/>
  <c r="R118" i="1"/>
  <c r="L118" i="1"/>
  <c r="K118" i="1"/>
  <c r="S117" i="1"/>
  <c r="R117" i="1"/>
  <c r="L117" i="1"/>
  <c r="K117" i="1"/>
  <c r="S116" i="1"/>
  <c r="R116" i="1"/>
  <c r="L116" i="1"/>
  <c r="K116" i="1"/>
  <c r="S115" i="1"/>
  <c r="R115" i="1"/>
  <c r="L115" i="1"/>
  <c r="K115" i="1"/>
  <c r="S114" i="1"/>
  <c r="R114" i="1"/>
  <c r="L114" i="1"/>
  <c r="K114" i="1"/>
  <c r="S113" i="1"/>
  <c r="R113" i="1"/>
  <c r="L113" i="1"/>
  <c r="K113" i="1"/>
  <c r="S112" i="1"/>
  <c r="R112" i="1"/>
  <c r="L112" i="1"/>
  <c r="K112" i="1"/>
  <c r="S111" i="1"/>
  <c r="R111" i="1"/>
  <c r="L111" i="1"/>
  <c r="K111" i="1"/>
  <c r="S110" i="1"/>
  <c r="R110" i="1"/>
  <c r="L110" i="1"/>
  <c r="K110" i="1"/>
  <c r="S109" i="1"/>
  <c r="R109" i="1"/>
  <c r="L109" i="1"/>
  <c r="K109" i="1"/>
  <c r="S108" i="1"/>
  <c r="R108" i="1"/>
  <c r="L108" i="1"/>
  <c r="K108" i="1"/>
  <c r="S107" i="1"/>
  <c r="R107" i="1"/>
  <c r="L107" i="1"/>
  <c r="K107" i="1"/>
  <c r="S106" i="1"/>
  <c r="R106" i="1"/>
  <c r="L106" i="1"/>
  <c r="K106" i="1"/>
  <c r="S105" i="1"/>
  <c r="R105" i="1"/>
  <c r="L105" i="1"/>
  <c r="K105" i="1"/>
  <c r="S104" i="1"/>
  <c r="R104" i="1"/>
  <c r="L104" i="1"/>
  <c r="K104" i="1"/>
  <c r="S103" i="1"/>
  <c r="R103" i="1"/>
  <c r="L103" i="1"/>
  <c r="K103" i="1"/>
  <c r="S102" i="1"/>
  <c r="R102" i="1"/>
  <c r="L102" i="1"/>
  <c r="K102" i="1"/>
  <c r="S101" i="1"/>
  <c r="R101" i="1"/>
  <c r="L101" i="1"/>
  <c r="K101" i="1"/>
  <c r="S100" i="1"/>
  <c r="R100" i="1"/>
  <c r="L100" i="1"/>
  <c r="K100" i="1"/>
  <c r="S99" i="1"/>
  <c r="R99" i="1"/>
  <c r="L99" i="1"/>
  <c r="K99" i="1"/>
  <c r="S98" i="1"/>
  <c r="R98" i="1"/>
  <c r="L98" i="1"/>
  <c r="K98" i="1"/>
  <c r="S97" i="1"/>
  <c r="R97" i="1"/>
  <c r="L97" i="1"/>
  <c r="K97" i="1"/>
  <c r="S96" i="1"/>
  <c r="R96" i="1"/>
  <c r="L96" i="1"/>
  <c r="K96" i="1"/>
  <c r="S95" i="1"/>
  <c r="R95" i="1"/>
  <c r="L95" i="1"/>
  <c r="K95" i="1"/>
  <c r="S94" i="1"/>
  <c r="R94" i="1"/>
  <c r="L94" i="1"/>
  <c r="K94" i="1"/>
  <c r="S93" i="1"/>
  <c r="R93" i="1"/>
  <c r="L93" i="1"/>
  <c r="K93" i="1"/>
  <c r="S92" i="1"/>
  <c r="R92" i="1"/>
  <c r="L92" i="1"/>
  <c r="K92" i="1"/>
  <c r="S91" i="1"/>
  <c r="R91" i="1"/>
  <c r="L91" i="1"/>
  <c r="K91" i="1"/>
  <c r="S90" i="1"/>
  <c r="R90" i="1"/>
  <c r="L90" i="1"/>
  <c r="K90" i="1"/>
  <c r="S89" i="1"/>
  <c r="R89" i="1"/>
  <c r="L89" i="1"/>
  <c r="K89" i="1"/>
  <c r="S88" i="1"/>
  <c r="R88" i="1"/>
  <c r="L88" i="1"/>
  <c r="K88" i="1"/>
  <c r="S87" i="1"/>
  <c r="R87" i="1"/>
  <c r="L87" i="1"/>
  <c r="K87" i="1"/>
  <c r="S86" i="1"/>
  <c r="R86" i="1"/>
  <c r="L86" i="1"/>
  <c r="K86" i="1"/>
  <c r="S85" i="1"/>
  <c r="R85" i="1"/>
  <c r="L85" i="1"/>
  <c r="K85" i="1"/>
  <c r="S84" i="1"/>
  <c r="R84" i="1"/>
  <c r="L84" i="1"/>
  <c r="K84" i="1"/>
  <c r="S83" i="1"/>
  <c r="R83" i="1"/>
  <c r="L83" i="1"/>
  <c r="K83" i="1"/>
  <c r="S82" i="1"/>
  <c r="R82" i="1"/>
  <c r="L82" i="1"/>
  <c r="K82" i="1"/>
  <c r="S81" i="1"/>
  <c r="R81" i="1"/>
  <c r="L81" i="1"/>
  <c r="K81" i="1"/>
  <c r="S80" i="1"/>
  <c r="R80" i="1"/>
  <c r="L80" i="1"/>
  <c r="K80" i="1"/>
  <c r="S79" i="1"/>
  <c r="R79" i="1"/>
  <c r="L79" i="1"/>
  <c r="K79" i="1"/>
  <c r="S78" i="1"/>
  <c r="R78" i="1"/>
  <c r="L78" i="1"/>
  <c r="K78" i="1"/>
  <c r="S77" i="1"/>
  <c r="R77" i="1"/>
  <c r="L77" i="1"/>
  <c r="K77" i="1"/>
  <c r="S76" i="1"/>
  <c r="R76" i="1"/>
  <c r="L76" i="1"/>
  <c r="K76" i="1"/>
  <c r="S75" i="1"/>
  <c r="R75" i="1"/>
  <c r="L75" i="1"/>
  <c r="K75" i="1"/>
  <c r="S74" i="1"/>
  <c r="R74" i="1"/>
  <c r="L74" i="1"/>
  <c r="K74" i="1"/>
  <c r="S73" i="1"/>
  <c r="R73" i="1"/>
  <c r="L73" i="1"/>
  <c r="K73" i="1"/>
  <c r="S72" i="1"/>
  <c r="R72" i="1"/>
  <c r="L72" i="1"/>
  <c r="K72" i="1"/>
  <c r="S71" i="1"/>
  <c r="R71" i="1"/>
  <c r="L71" i="1"/>
  <c r="K71" i="1"/>
  <c r="S70" i="1"/>
  <c r="R70" i="1"/>
  <c r="L70" i="1"/>
  <c r="K70" i="1"/>
  <c r="S69" i="1"/>
  <c r="R69" i="1"/>
  <c r="L69" i="1"/>
  <c r="K69" i="1"/>
  <c r="S68" i="1"/>
  <c r="R68" i="1"/>
  <c r="L68" i="1"/>
  <c r="K68" i="1"/>
  <c r="S67" i="1"/>
  <c r="R67" i="1"/>
  <c r="L67" i="1"/>
  <c r="K67" i="1"/>
  <c r="S66" i="1"/>
  <c r="R66" i="1"/>
  <c r="L66" i="1"/>
  <c r="K66" i="1"/>
  <c r="S65" i="1"/>
  <c r="R65" i="1"/>
  <c r="L65" i="1"/>
  <c r="K65" i="1"/>
  <c r="S64" i="1"/>
  <c r="R64" i="1"/>
  <c r="L64" i="1"/>
  <c r="K64" i="1"/>
  <c r="S63" i="1"/>
  <c r="R63" i="1"/>
  <c r="L63" i="1"/>
  <c r="K63" i="1"/>
  <c r="S62" i="1"/>
  <c r="R62" i="1"/>
  <c r="L62" i="1"/>
  <c r="K62" i="1"/>
  <c r="S61" i="1"/>
  <c r="R61" i="1"/>
  <c r="L61" i="1"/>
  <c r="K61" i="1"/>
  <c r="S60" i="1"/>
  <c r="R60" i="1"/>
  <c r="L60" i="1"/>
  <c r="K60" i="1"/>
  <c r="S59" i="1"/>
  <c r="R59" i="1"/>
  <c r="L59" i="1"/>
  <c r="K59" i="1"/>
  <c r="S58" i="1"/>
  <c r="R58" i="1"/>
  <c r="L58" i="1"/>
  <c r="K58" i="1"/>
  <c r="S57" i="1"/>
  <c r="R57" i="1"/>
  <c r="L57" i="1"/>
  <c r="K57" i="1"/>
  <c r="S56" i="1"/>
  <c r="R56" i="1"/>
  <c r="L56" i="1"/>
  <c r="K56" i="1"/>
  <c r="S55" i="1"/>
  <c r="R55" i="1"/>
  <c r="L55" i="1"/>
  <c r="K55" i="1"/>
  <c r="S54" i="1"/>
  <c r="R54" i="1"/>
  <c r="L54" i="1"/>
  <c r="K54" i="1"/>
  <c r="S53" i="1"/>
  <c r="R53" i="1"/>
  <c r="L53" i="1"/>
  <c r="K53" i="1"/>
  <c r="S52" i="1"/>
  <c r="R52" i="1"/>
  <c r="L52" i="1"/>
  <c r="K52" i="1"/>
  <c r="S51" i="1"/>
  <c r="R51" i="1"/>
  <c r="L51" i="1"/>
  <c r="K51" i="1"/>
  <c r="S50" i="1"/>
  <c r="R50" i="1"/>
  <c r="L50" i="1"/>
  <c r="K50" i="1"/>
  <c r="S49" i="1"/>
  <c r="R49" i="1"/>
  <c r="L49" i="1"/>
  <c r="K49" i="1"/>
  <c r="S48" i="1"/>
  <c r="R48" i="1"/>
  <c r="L48" i="1"/>
  <c r="K48" i="1"/>
  <c r="S47" i="1"/>
  <c r="R47" i="1"/>
  <c r="L47" i="1"/>
  <c r="K47" i="1"/>
  <c r="S46" i="1"/>
  <c r="R46" i="1"/>
  <c r="L46" i="1"/>
  <c r="K46" i="1"/>
  <c r="S45" i="1"/>
  <c r="R45" i="1"/>
  <c r="L45" i="1"/>
  <c r="K45" i="1"/>
  <c r="S44" i="1"/>
  <c r="R44" i="1"/>
  <c r="L44" i="1"/>
  <c r="K44" i="1"/>
  <c r="S43" i="1"/>
  <c r="R43" i="1"/>
  <c r="L43" i="1"/>
  <c r="K43" i="1"/>
  <c r="S42" i="1"/>
  <c r="R42" i="1"/>
  <c r="L42" i="1"/>
  <c r="K42" i="1"/>
  <c r="S41" i="1"/>
  <c r="R41" i="1"/>
  <c r="L41" i="1"/>
  <c r="K41" i="1"/>
  <c r="S40" i="1"/>
  <c r="R40" i="1"/>
  <c r="L40" i="1"/>
  <c r="K40" i="1"/>
  <c r="S39" i="1"/>
  <c r="R39" i="1"/>
  <c r="L39" i="1"/>
  <c r="K39" i="1"/>
  <c r="S38" i="1"/>
  <c r="R38" i="1"/>
  <c r="L38" i="1"/>
  <c r="K38" i="1"/>
  <c r="S37" i="1"/>
  <c r="R37" i="1"/>
  <c r="L37" i="1"/>
  <c r="K37" i="1"/>
  <c r="S36" i="1"/>
  <c r="R36" i="1"/>
  <c r="L36" i="1"/>
  <c r="K36" i="1"/>
  <c r="S35" i="1"/>
  <c r="R35" i="1"/>
  <c r="L35" i="1"/>
  <c r="K35" i="1"/>
  <c r="S34" i="1"/>
  <c r="R34" i="1"/>
  <c r="L34" i="1"/>
  <c r="K34" i="1"/>
  <c r="S33" i="1"/>
  <c r="R33" i="1"/>
  <c r="L33" i="1"/>
  <c r="K33" i="1"/>
  <c r="S32" i="1"/>
  <c r="R32" i="1"/>
  <c r="L32" i="1"/>
  <c r="K32" i="1"/>
  <c r="S31" i="1"/>
  <c r="R31" i="1"/>
  <c r="L31" i="1"/>
  <c r="K31" i="1"/>
  <c r="S30" i="1"/>
  <c r="R30" i="1"/>
  <c r="L30" i="1"/>
  <c r="K30" i="1"/>
  <c r="S29" i="1"/>
  <c r="R29" i="1"/>
  <c r="L29" i="1"/>
  <c r="K29" i="1"/>
  <c r="S28" i="1"/>
  <c r="R28" i="1"/>
  <c r="L28" i="1"/>
  <c r="K28" i="1"/>
  <c r="S27" i="1"/>
  <c r="R27" i="1"/>
  <c r="L27" i="1"/>
  <c r="K27" i="1"/>
  <c r="S26" i="1"/>
  <c r="R26" i="1"/>
  <c r="L26" i="1"/>
  <c r="K26" i="1"/>
  <c r="S25" i="1"/>
  <c r="R25" i="1"/>
  <c r="L25" i="1"/>
  <c r="K25" i="1"/>
  <c r="S24" i="1"/>
  <c r="R24" i="1"/>
  <c r="L24" i="1"/>
  <c r="K24" i="1"/>
  <c r="S23" i="1"/>
  <c r="R23" i="1"/>
  <c r="L23" i="1"/>
  <c r="K23" i="1"/>
  <c r="S22" i="1"/>
  <c r="R22" i="1"/>
  <c r="L22" i="1"/>
  <c r="K22" i="1"/>
  <c r="S21" i="1"/>
  <c r="R21" i="1"/>
  <c r="L21" i="1"/>
  <c r="K21" i="1"/>
  <c r="S20" i="1"/>
  <c r="R20" i="1"/>
  <c r="L20" i="1"/>
  <c r="K20" i="1"/>
  <c r="S19" i="1"/>
  <c r="R19" i="1"/>
  <c r="L19" i="1"/>
  <c r="K19" i="1"/>
  <c r="S18" i="1"/>
  <c r="R18" i="1"/>
  <c r="L18" i="1"/>
  <c r="K18" i="1"/>
  <c r="S17" i="1"/>
  <c r="R17" i="1"/>
  <c r="L17" i="1"/>
  <c r="K17" i="1"/>
  <c r="S16" i="1"/>
  <c r="R16" i="1"/>
  <c r="L16" i="1"/>
  <c r="K16" i="1"/>
  <c r="S15" i="1"/>
  <c r="R15" i="1"/>
  <c r="L15" i="1"/>
  <c r="K15" i="1"/>
  <c r="S14" i="1"/>
  <c r="R14" i="1"/>
  <c r="L14" i="1"/>
  <c r="K14" i="1"/>
  <c r="S13" i="1"/>
  <c r="R13" i="1"/>
  <c r="L13" i="1"/>
  <c r="K13" i="1"/>
  <c r="S12" i="1"/>
  <c r="R12" i="1"/>
  <c r="L12" i="1"/>
  <c r="K12" i="1"/>
  <c r="S11" i="1"/>
  <c r="R11" i="1"/>
  <c r="L11" i="1"/>
  <c r="K11" i="1"/>
  <c r="S10" i="1"/>
  <c r="R10" i="1"/>
  <c r="L10" i="1"/>
  <c r="K10" i="1"/>
  <c r="S9" i="1"/>
  <c r="R9" i="1"/>
  <c r="L9" i="1"/>
  <c r="K9" i="1"/>
  <c r="S8" i="1"/>
  <c r="R8" i="1"/>
  <c r="L8" i="1"/>
  <c r="K8" i="1"/>
  <c r="S7" i="1"/>
  <c r="R7" i="1"/>
  <c r="L7" i="1"/>
  <c r="K7" i="1"/>
  <c r="S6" i="1"/>
  <c r="R6" i="1"/>
  <c r="L6" i="1"/>
  <c r="K6" i="1"/>
  <c r="S5" i="1"/>
  <c r="R5" i="1"/>
  <c r="L5" i="1"/>
  <c r="K5" i="1"/>
  <c r="S4" i="1"/>
  <c r="R4" i="1"/>
  <c r="L4" i="1"/>
  <c r="K4" i="1"/>
  <c r="S3" i="1"/>
  <c r="R3" i="1"/>
  <c r="L3" i="1"/>
  <c r="K3" i="1"/>
  <c r="S2" i="1"/>
  <c r="R2" i="1"/>
  <c r="L2" i="1"/>
  <c r="K2" i="1"/>
</calcChain>
</file>

<file path=xl/sharedStrings.xml><?xml version="1.0" encoding="utf-8"?>
<sst xmlns="http://schemas.openxmlformats.org/spreadsheetml/2006/main" count="2112" uniqueCount="773">
  <si>
    <t>Ürün Kodu</t>
  </si>
  <si>
    <t>Marka</t>
  </si>
  <si>
    <t>Kategori</t>
  </si>
  <si>
    <t>Ürün Ailesi</t>
  </si>
  <si>
    <t>Sipariş Statü</t>
  </si>
  <si>
    <t>Ölçü</t>
  </si>
  <si>
    <t>Yükseklik CM</t>
  </si>
  <si>
    <t>Birim USD Fiyat</t>
  </si>
  <si>
    <t>Birim EUR Fiyat</t>
  </si>
  <si>
    <t>Sipariş Adet</t>
  </si>
  <si>
    <t>Sipariş Tutar USD</t>
  </si>
  <si>
    <t>Sipariş Tutar EUR</t>
  </si>
  <si>
    <t>Barkod</t>
  </si>
  <si>
    <t>Ürün ID</t>
  </si>
  <si>
    <t>GTIP</t>
  </si>
  <si>
    <t>Birim Hacim M3</t>
  </si>
  <si>
    <t>Birim Ağırlık KG</t>
  </si>
  <si>
    <t>Toplam Hacim M3</t>
  </si>
  <si>
    <t>Toplam Ağırlık KG</t>
  </si>
  <si>
    <t>Foto weblink</t>
  </si>
  <si>
    <t>Yataş Bedding</t>
  </si>
  <si>
    <t>Yatak</t>
  </si>
  <si>
    <t>Activio</t>
  </si>
  <si>
    <t>MTO</t>
  </si>
  <si>
    <t>090X190</t>
  </si>
  <si>
    <t>8684177543298</t>
  </si>
  <si>
    <t>14326066</t>
  </si>
  <si>
    <t>940429100000</t>
  </si>
  <si>
    <t>090X200</t>
  </si>
  <si>
    <t>8684177543304</t>
  </si>
  <si>
    <t>14326067</t>
  </si>
  <si>
    <t>MTS</t>
  </si>
  <si>
    <t>100X200</t>
  </si>
  <si>
    <t>8684177543311</t>
  </si>
  <si>
    <t>14326068</t>
  </si>
  <si>
    <t>120X200</t>
  </si>
  <si>
    <t>8684177543328</t>
  </si>
  <si>
    <t>14326069</t>
  </si>
  <si>
    <t>140X190</t>
  </si>
  <si>
    <t>8684177543335</t>
  </si>
  <si>
    <t>14326070</t>
  </si>
  <si>
    <t>140X200</t>
  </si>
  <si>
    <t>8684177543342</t>
  </si>
  <si>
    <t>14326071</t>
  </si>
  <si>
    <t>150X200</t>
  </si>
  <si>
    <t>8684177543359</t>
  </si>
  <si>
    <t>14326072</t>
  </si>
  <si>
    <t>160X200</t>
  </si>
  <si>
    <t>8684177543366</t>
  </si>
  <si>
    <t>14326073</t>
  </si>
  <si>
    <t>50501003380009</t>
  </si>
  <si>
    <t>180x200</t>
  </si>
  <si>
    <t>8684177543373</t>
  </si>
  <si>
    <t>14326074</t>
  </si>
  <si>
    <t>Adapt Rest</t>
  </si>
  <si>
    <t>8684177390717</t>
  </si>
  <si>
    <t>13418618</t>
  </si>
  <si>
    <t>8684177390816</t>
  </si>
  <si>
    <t>13418625</t>
  </si>
  <si>
    <t>8684177390892</t>
  </si>
  <si>
    <t>13418656</t>
  </si>
  <si>
    <t>8684177390984</t>
  </si>
  <si>
    <t>13418677</t>
  </si>
  <si>
    <t>8684177391059</t>
  </si>
  <si>
    <t>13418321</t>
  </si>
  <si>
    <t>8684177391066</t>
  </si>
  <si>
    <t>13418322</t>
  </si>
  <si>
    <t>180X200</t>
  </si>
  <si>
    <t>8684177391073</t>
  </si>
  <si>
    <t>13418323</t>
  </si>
  <si>
    <t>Athletic</t>
  </si>
  <si>
    <t>8699939270152</t>
  </si>
  <si>
    <t>00324185</t>
  </si>
  <si>
    <t>8699939270169</t>
  </si>
  <si>
    <t>00324191</t>
  </si>
  <si>
    <t>8699939270176</t>
  </si>
  <si>
    <t>00324186</t>
  </si>
  <si>
    <t>8699939270022</t>
  </si>
  <si>
    <t>00324200</t>
  </si>
  <si>
    <t>8699939270039</t>
  </si>
  <si>
    <t>00324165</t>
  </si>
  <si>
    <t>8699939270046</t>
  </si>
  <si>
    <t>00324170</t>
  </si>
  <si>
    <t>8699939270053</t>
  </si>
  <si>
    <t>00324175</t>
  </si>
  <si>
    <t>8699939270060</t>
  </si>
  <si>
    <t>00324180</t>
  </si>
  <si>
    <t>8699939270077</t>
  </si>
  <si>
    <t>00324153</t>
  </si>
  <si>
    <t>200X200</t>
  </si>
  <si>
    <t>8699939270084</t>
  </si>
  <si>
    <t>00324158</t>
  </si>
  <si>
    <t>Athletic RP</t>
  </si>
  <si>
    <t>080X200</t>
  </si>
  <si>
    <t>8682273789497</t>
  </si>
  <si>
    <t>01570700</t>
  </si>
  <si>
    <t>8682273789510</t>
  </si>
  <si>
    <t>01570702</t>
  </si>
  <si>
    <t>8684177471010</t>
  </si>
  <si>
    <t>13830846</t>
  </si>
  <si>
    <t>8684177471041</t>
  </si>
  <si>
    <t>13830847</t>
  </si>
  <si>
    <t>8684177471096</t>
  </si>
  <si>
    <t>13832392</t>
  </si>
  <si>
    <t>8682273789541</t>
  </si>
  <si>
    <t>01570705</t>
  </si>
  <si>
    <t>8684177471072</t>
  </si>
  <si>
    <t>13832238</t>
  </si>
  <si>
    <t>8684177471089</t>
  </si>
  <si>
    <t>13832239</t>
  </si>
  <si>
    <t>8682273789572</t>
  </si>
  <si>
    <t>01570708</t>
  </si>
  <si>
    <t>Black Ice</t>
  </si>
  <si>
    <t>8684177241170</t>
  </si>
  <si>
    <t>12441954</t>
  </si>
  <si>
    <t>8684177241194</t>
  </si>
  <si>
    <t>12442123</t>
  </si>
  <si>
    <t>8684177241200</t>
  </si>
  <si>
    <t>12442130</t>
  </si>
  <si>
    <t>8684177241217</t>
  </si>
  <si>
    <t>12442141</t>
  </si>
  <si>
    <t>8684177394395</t>
  </si>
  <si>
    <t>13442857</t>
  </si>
  <si>
    <t>8684177241224</t>
  </si>
  <si>
    <t>12442165</t>
  </si>
  <si>
    <t>8684177241231</t>
  </si>
  <si>
    <t>12442211</t>
  </si>
  <si>
    <t>8684177232390</t>
  </si>
  <si>
    <t>12442219</t>
  </si>
  <si>
    <t>8684177241248</t>
  </si>
  <si>
    <t>12444618</t>
  </si>
  <si>
    <t>Blue Star</t>
  </si>
  <si>
    <t>8699939004924</t>
  </si>
  <si>
    <t>00005775</t>
  </si>
  <si>
    <t>8699939004931</t>
  </si>
  <si>
    <t>00005776</t>
  </si>
  <si>
    <t>8699939004955</t>
  </si>
  <si>
    <t>00005778</t>
  </si>
  <si>
    <t>8699939004993</t>
  </si>
  <si>
    <t>00005782</t>
  </si>
  <si>
    <t>8699939005020</t>
  </si>
  <si>
    <t>00005785</t>
  </si>
  <si>
    <t>8699939269415</t>
  </si>
  <si>
    <t>00005786</t>
  </si>
  <si>
    <t>8699939005075</t>
  </si>
  <si>
    <t>00005790</t>
  </si>
  <si>
    <t>8699939005105</t>
  </si>
  <si>
    <t>00005793</t>
  </si>
  <si>
    <t>8699939005129</t>
  </si>
  <si>
    <t>00005795</t>
  </si>
  <si>
    <t>Blue Star RP</t>
  </si>
  <si>
    <t>8684177448777</t>
  </si>
  <si>
    <t>13716062</t>
  </si>
  <si>
    <t>8684177448791</t>
  </si>
  <si>
    <t>13716063</t>
  </si>
  <si>
    <t>8684177448821</t>
  </si>
  <si>
    <t>13716065</t>
  </si>
  <si>
    <t>8684177448845</t>
  </si>
  <si>
    <t>13716066</t>
  </si>
  <si>
    <t>8682273975012</t>
  </si>
  <si>
    <t>01664157</t>
  </si>
  <si>
    <t>8682273975050</t>
  </si>
  <si>
    <t>01664161</t>
  </si>
  <si>
    <t>Compact Guest Bed</t>
  </si>
  <si>
    <t>8699939771628</t>
  </si>
  <si>
    <t>01052657</t>
  </si>
  <si>
    <t>940429900000</t>
  </si>
  <si>
    <t>Cool&amp;Wool</t>
  </si>
  <si>
    <t>8682273397326</t>
  </si>
  <si>
    <t>01369178</t>
  </si>
  <si>
    <t>8682273397333</t>
  </si>
  <si>
    <t>01369179</t>
  </si>
  <si>
    <t>8682273397340</t>
  </si>
  <si>
    <t>01369180</t>
  </si>
  <si>
    <t>8682273397357</t>
  </si>
  <si>
    <t>01369181</t>
  </si>
  <si>
    <t>8682273462888</t>
  </si>
  <si>
    <t>01394747</t>
  </si>
  <si>
    <t>8682273397364</t>
  </si>
  <si>
    <t>01369182</t>
  </si>
  <si>
    <t>8682273397371</t>
  </si>
  <si>
    <t>01369183</t>
  </si>
  <si>
    <t>8682273397388</t>
  </si>
  <si>
    <t>01369184</t>
  </si>
  <si>
    <t>8682273397395</t>
  </si>
  <si>
    <t>01369185</t>
  </si>
  <si>
    <t>Cool&amp;Wool RP</t>
  </si>
  <si>
    <t>8682273885106</t>
  </si>
  <si>
    <t>01653030</t>
  </si>
  <si>
    <t>8682273885120</t>
  </si>
  <si>
    <t>01653032</t>
  </si>
  <si>
    <t>8682273885137</t>
  </si>
  <si>
    <t>01653033</t>
  </si>
  <si>
    <t>8682273885144</t>
  </si>
  <si>
    <t>01653035</t>
  </si>
  <si>
    <t>8682273885168</t>
  </si>
  <si>
    <t>01653037</t>
  </si>
  <si>
    <t>8682273885175</t>
  </si>
  <si>
    <t>01653038</t>
  </si>
  <si>
    <t>8682273885182</t>
  </si>
  <si>
    <t>01653039</t>
  </si>
  <si>
    <t>8682273885199</t>
  </si>
  <si>
    <t>01653040</t>
  </si>
  <si>
    <t>8682273885205</t>
  </si>
  <si>
    <t>01653034</t>
  </si>
  <si>
    <t>Dream Line</t>
  </si>
  <si>
    <t>8682273577254</t>
  </si>
  <si>
    <t>01465371</t>
  </si>
  <si>
    <t>8682273577261</t>
  </si>
  <si>
    <t>01465372</t>
  </si>
  <si>
    <t>8682273577278</t>
  </si>
  <si>
    <t>01465373</t>
  </si>
  <si>
    <t>8682273577285</t>
  </si>
  <si>
    <t>01465374</t>
  </si>
  <si>
    <t>8682273577292</t>
  </si>
  <si>
    <t>01465375</t>
  </si>
  <si>
    <t>8682273577308</t>
  </si>
  <si>
    <t>01465376</t>
  </si>
  <si>
    <t>Easy Rest</t>
  </si>
  <si>
    <t>8684177496242</t>
  </si>
  <si>
    <t>13960162</t>
  </si>
  <si>
    <t>50501003260001</t>
  </si>
  <si>
    <t>8684177484058</t>
  </si>
  <si>
    <t>13897533</t>
  </si>
  <si>
    <t>8684177451494</t>
  </si>
  <si>
    <t>13744750</t>
  </si>
  <si>
    <t>8684177451500</t>
  </si>
  <si>
    <t>13744751</t>
  </si>
  <si>
    <t>Ergocoil Infinity Pro</t>
  </si>
  <si>
    <t>8684177238750</t>
  </si>
  <si>
    <t>12826311</t>
  </si>
  <si>
    <t>8684177238743</t>
  </si>
  <si>
    <t>12826312</t>
  </si>
  <si>
    <t>8684177238682</t>
  </si>
  <si>
    <t>12826313</t>
  </si>
  <si>
    <t>8684177238699</t>
  </si>
  <si>
    <t>12826315</t>
  </si>
  <si>
    <t>8684177238767</t>
  </si>
  <si>
    <t>12826316</t>
  </si>
  <si>
    <t>8684177238736</t>
  </si>
  <si>
    <t>12826317</t>
  </si>
  <si>
    <t>8684177238675</t>
  </si>
  <si>
    <t>12826318</t>
  </si>
  <si>
    <t>Ergonomic Air Visco</t>
  </si>
  <si>
    <t>8684177432226</t>
  </si>
  <si>
    <t>13638988</t>
  </si>
  <si>
    <t>8684177432363</t>
  </si>
  <si>
    <t>13639857</t>
  </si>
  <si>
    <t>8684177432387</t>
  </si>
  <si>
    <t>13639858</t>
  </si>
  <si>
    <t>8684177432417</t>
  </si>
  <si>
    <t>13639859</t>
  </si>
  <si>
    <t>8684177432431</t>
  </si>
  <si>
    <t>13639860</t>
  </si>
  <si>
    <t>8684177432455</t>
  </si>
  <si>
    <t>13639861</t>
  </si>
  <si>
    <t>8684177432462</t>
  </si>
  <si>
    <t>13639862</t>
  </si>
  <si>
    <t>8684177432479</t>
  </si>
  <si>
    <t>13639863</t>
  </si>
  <si>
    <t>8684177432486</t>
  </si>
  <si>
    <t>13639864</t>
  </si>
  <si>
    <t>8684177432493</t>
  </si>
  <si>
    <t>13639865</t>
  </si>
  <si>
    <t>FlexBed</t>
  </si>
  <si>
    <t>8682273063962</t>
  </si>
  <si>
    <t>01234806</t>
  </si>
  <si>
    <t>Ionic Energy Pro</t>
  </si>
  <si>
    <t>8682273827021</t>
  </si>
  <si>
    <t>01580824</t>
  </si>
  <si>
    <t>8682273827199</t>
  </si>
  <si>
    <t>01580825</t>
  </si>
  <si>
    <t>8682273826932</t>
  </si>
  <si>
    <t>01580826</t>
  </si>
  <si>
    <t>8682273827038</t>
  </si>
  <si>
    <t>01580827</t>
  </si>
  <si>
    <t>8682273827045</t>
  </si>
  <si>
    <t>01580828</t>
  </si>
  <si>
    <t>8682273826987</t>
  </si>
  <si>
    <t>01580829</t>
  </si>
  <si>
    <t>8682273827151</t>
  </si>
  <si>
    <t>01580830</t>
  </si>
  <si>
    <t>8682273827106</t>
  </si>
  <si>
    <t>01580831</t>
  </si>
  <si>
    <t>8682273827212</t>
  </si>
  <si>
    <t>01580832</t>
  </si>
  <si>
    <t>Natura Rest</t>
  </si>
  <si>
    <t>8684177245437</t>
  </si>
  <si>
    <t>12938909</t>
  </si>
  <si>
    <t>8684177245321</t>
  </si>
  <si>
    <t>12938910</t>
  </si>
  <si>
    <t>8684177245352</t>
  </si>
  <si>
    <t>12938911</t>
  </si>
  <si>
    <t>Optimum Flex RP</t>
  </si>
  <si>
    <t>8684177497607</t>
  </si>
  <si>
    <t>13963354</t>
  </si>
  <si>
    <t>8684177497614</t>
  </si>
  <si>
    <t>13963355</t>
  </si>
  <si>
    <t>8684177497621</t>
  </si>
  <si>
    <t>13963356</t>
  </si>
  <si>
    <t>8684177497638</t>
  </si>
  <si>
    <t>13963357</t>
  </si>
  <si>
    <t>8684177497645</t>
  </si>
  <si>
    <t>13963358</t>
  </si>
  <si>
    <t>8684177497652</t>
  </si>
  <si>
    <t>13963359</t>
  </si>
  <si>
    <t>Orthopedic Support</t>
  </si>
  <si>
    <t>8682273129675</t>
  </si>
  <si>
    <t>01264452</t>
  </si>
  <si>
    <t>8682273129682</t>
  </si>
  <si>
    <t>01264453</t>
  </si>
  <si>
    <t>8682273129699</t>
  </si>
  <si>
    <t>01264454</t>
  </si>
  <si>
    <t>8682273129705</t>
  </si>
  <si>
    <t>01264455</t>
  </si>
  <si>
    <t>8682273129712</t>
  </si>
  <si>
    <t>01264456</t>
  </si>
  <si>
    <t>8682273129729</t>
  </si>
  <si>
    <t>01264457</t>
  </si>
  <si>
    <t>8682273129736</t>
  </si>
  <si>
    <t>01264458</t>
  </si>
  <si>
    <t>8682273129743</t>
  </si>
  <si>
    <t>01264459</t>
  </si>
  <si>
    <t>Orthopedic Support RP</t>
  </si>
  <si>
    <t>8684177645558</t>
  </si>
  <si>
    <t>12780773</t>
  </si>
  <si>
    <t>50501002380001</t>
  </si>
  <si>
    <t>160x200</t>
  </si>
  <si>
    <t>8684177588879</t>
  </si>
  <si>
    <t>12780586</t>
  </si>
  <si>
    <t>50501002380002</t>
  </si>
  <si>
    <t>8684177645336</t>
  </si>
  <si>
    <t>12780595</t>
  </si>
  <si>
    <t>Oxy Fresh</t>
  </si>
  <si>
    <t>8684177555987</t>
  </si>
  <si>
    <t>14377695</t>
  </si>
  <si>
    <t>8684177555994</t>
  </si>
  <si>
    <t>14377696</t>
  </si>
  <si>
    <t>8684177556007</t>
  </si>
  <si>
    <t>14377697</t>
  </si>
  <si>
    <t>8684177556014</t>
  </si>
  <si>
    <t>14377698</t>
  </si>
  <si>
    <t>8684177556038</t>
  </si>
  <si>
    <t>14377699</t>
  </si>
  <si>
    <t>8684177556045</t>
  </si>
  <si>
    <t>14377700</t>
  </si>
  <si>
    <t>8684177556069</t>
  </si>
  <si>
    <t>14377701</t>
  </si>
  <si>
    <t>8684177556083</t>
  </si>
  <si>
    <t>14377702</t>
  </si>
  <si>
    <t>Prestige Prime</t>
  </si>
  <si>
    <t>8699939148345</t>
  </si>
  <si>
    <t>00290163</t>
  </si>
  <si>
    <t>8699939151239</t>
  </si>
  <si>
    <t>00291751</t>
  </si>
  <si>
    <t>8699939265400</t>
  </si>
  <si>
    <t>00664282</t>
  </si>
  <si>
    <t>8699939151246</t>
  </si>
  <si>
    <t>00291753</t>
  </si>
  <si>
    <t>8699939151260</t>
  </si>
  <si>
    <t>00291757</t>
  </si>
  <si>
    <t>8699939151277</t>
  </si>
  <si>
    <t>00291759</t>
  </si>
  <si>
    <t>8699939151284</t>
  </si>
  <si>
    <t>00291761</t>
  </si>
  <si>
    <t>8699939151291</t>
  </si>
  <si>
    <t>00291763</t>
  </si>
  <si>
    <t>Relax Tech</t>
  </si>
  <si>
    <t>8684177543380</t>
  </si>
  <si>
    <t>14326075</t>
  </si>
  <si>
    <t>8684177543397</t>
  </si>
  <si>
    <t>14326076</t>
  </si>
  <si>
    <t>8684177543403</t>
  </si>
  <si>
    <t>14326077</t>
  </si>
  <si>
    <t>8684177543410</t>
  </si>
  <si>
    <t>14326078</t>
  </si>
  <si>
    <t>8684177543427</t>
  </si>
  <si>
    <t>14326079</t>
  </si>
  <si>
    <t>8684177543434</t>
  </si>
  <si>
    <t>14326080</t>
  </si>
  <si>
    <t>8684177543441</t>
  </si>
  <si>
    <t>14326081</t>
  </si>
  <si>
    <t>8684177543458</t>
  </si>
  <si>
    <t>14326082</t>
  </si>
  <si>
    <t>8684177543465</t>
  </si>
  <si>
    <t>14326083</t>
  </si>
  <si>
    <t>Silver Therapy</t>
  </si>
  <si>
    <t>8699939381575</t>
  </si>
  <si>
    <t>00752375</t>
  </si>
  <si>
    <t>8699939381599</t>
  </si>
  <si>
    <t>00752383</t>
  </si>
  <si>
    <t>8699939381605</t>
  </si>
  <si>
    <t>00752384</t>
  </si>
  <si>
    <t>8699939381612</t>
  </si>
  <si>
    <t>00752385</t>
  </si>
  <si>
    <t>8699939436435</t>
  </si>
  <si>
    <t>00805980</t>
  </si>
  <si>
    <t>8699939381629</t>
  </si>
  <si>
    <t>00752386</t>
  </si>
  <si>
    <t>8699939381636</t>
  </si>
  <si>
    <t>00752376</t>
  </si>
  <si>
    <t>Sleep Motion X</t>
  </si>
  <si>
    <t>8684177545117</t>
  </si>
  <si>
    <t>14335866</t>
  </si>
  <si>
    <t/>
  </si>
  <si>
    <t>8684177545162</t>
  </si>
  <si>
    <t>14335867</t>
  </si>
  <si>
    <t>8684177545155</t>
  </si>
  <si>
    <t>14335868</t>
  </si>
  <si>
    <t>8684177545100</t>
  </si>
  <si>
    <t>14335869</t>
  </si>
  <si>
    <t>8684177545094</t>
  </si>
  <si>
    <t>14335870</t>
  </si>
  <si>
    <t>Spinal Support X-SAS</t>
  </si>
  <si>
    <t>8682273642693</t>
  </si>
  <si>
    <t>01488919</t>
  </si>
  <si>
    <t>8682273690700</t>
  </si>
  <si>
    <t>01524121</t>
  </si>
  <si>
    <t>8684177273522</t>
  </si>
  <si>
    <t>13028045</t>
  </si>
  <si>
    <t>8682273784935</t>
  </si>
  <si>
    <t>01554738</t>
  </si>
  <si>
    <t>8682273642709</t>
  </si>
  <si>
    <t>01488920</t>
  </si>
  <si>
    <t>8682273690717</t>
  </si>
  <si>
    <t>01524122</t>
  </si>
  <si>
    <t>8684177273539</t>
  </si>
  <si>
    <t>13028046</t>
  </si>
  <si>
    <t>8682273642716</t>
  </si>
  <si>
    <t>01488921</t>
  </si>
  <si>
    <t>8682273638269</t>
  </si>
  <si>
    <t>01486538</t>
  </si>
  <si>
    <t>8684177274475</t>
  </si>
  <si>
    <t>13035252</t>
  </si>
  <si>
    <t>Supreme Pedic</t>
  </si>
  <si>
    <t>8682273577322</t>
  </si>
  <si>
    <t>01465378</t>
  </si>
  <si>
    <t>8682273577339</t>
  </si>
  <si>
    <t>01465379</t>
  </si>
  <si>
    <t>8682273577346</t>
  </si>
  <si>
    <t>01465380</t>
  </si>
  <si>
    <t>8682273577353</t>
  </si>
  <si>
    <t>01465381</t>
  </si>
  <si>
    <t>8682273577360</t>
  </si>
  <si>
    <t>01465382</t>
  </si>
  <si>
    <t>8682273577377</t>
  </si>
  <si>
    <t>01465383</t>
  </si>
  <si>
    <t>8682273577384</t>
  </si>
  <si>
    <t>01465384</t>
  </si>
  <si>
    <t>Supreme Star</t>
  </si>
  <si>
    <t>8684177387687</t>
  </si>
  <si>
    <t>13393038</t>
  </si>
  <si>
    <t>8684177387717</t>
  </si>
  <si>
    <t>13392977</t>
  </si>
  <si>
    <t>8684177387977</t>
  </si>
  <si>
    <t>13395306</t>
  </si>
  <si>
    <t>8684177388011</t>
  </si>
  <si>
    <t>13396063</t>
  </si>
  <si>
    <t>8684177388059</t>
  </si>
  <si>
    <t>13396076</t>
  </si>
  <si>
    <t>8684177388097</t>
  </si>
  <si>
    <t>13396081</t>
  </si>
  <si>
    <t>8684177388141</t>
  </si>
  <si>
    <t>13396089</t>
  </si>
  <si>
    <t>8684177388189</t>
  </si>
  <si>
    <t>13396096</t>
  </si>
  <si>
    <t>Tesla Sleep Power</t>
  </si>
  <si>
    <t>8684177288335</t>
  </si>
  <si>
    <t>12671137</t>
  </si>
  <si>
    <t>8684177288342</t>
  </si>
  <si>
    <t>12671138</t>
  </si>
  <si>
    <t>8684177288359</t>
  </si>
  <si>
    <t>12671154</t>
  </si>
  <si>
    <t>8684177288366</t>
  </si>
  <si>
    <t>12672319</t>
  </si>
  <si>
    <t>8684177400591</t>
  </si>
  <si>
    <t>13486593</t>
  </si>
  <si>
    <t>8684177288304</t>
  </si>
  <si>
    <t>12672320</t>
  </si>
  <si>
    <t>8684177288373</t>
  </si>
  <si>
    <t>12672321</t>
  </si>
  <si>
    <t>Optimum Support</t>
  </si>
  <si>
    <t>8699939655218</t>
  </si>
  <si>
    <t>00967848</t>
  </si>
  <si>
    <t>8699939655232</t>
  </si>
  <si>
    <t>00967850</t>
  </si>
  <si>
    <t>8699939655249</t>
  </si>
  <si>
    <t>00967827</t>
  </si>
  <si>
    <t>8699939655256</t>
  </si>
  <si>
    <t>00967819</t>
  </si>
  <si>
    <t>8699939655263</t>
  </si>
  <si>
    <t>00967823</t>
  </si>
  <si>
    <t>8699939655270</t>
  </si>
  <si>
    <t>00967837</t>
  </si>
  <si>
    <t>Wool Sense Pro</t>
  </si>
  <si>
    <t>8682273680657</t>
  </si>
  <si>
    <t>01518136</t>
  </si>
  <si>
    <t>8682273680664</t>
  </si>
  <si>
    <t>01518137</t>
  </si>
  <si>
    <t>8682273680671</t>
  </si>
  <si>
    <t>01518138</t>
  </si>
  <si>
    <t>8682273680688</t>
  </si>
  <si>
    <t>01518139</t>
  </si>
  <si>
    <t>8682273680695</t>
  </si>
  <si>
    <t>01518140</t>
  </si>
  <si>
    <t>8682273680701</t>
  </si>
  <si>
    <t>01518141</t>
  </si>
  <si>
    <t>8682273680718</t>
  </si>
  <si>
    <t>01518142</t>
  </si>
  <si>
    <t>Penta-Z Pro</t>
  </si>
  <si>
    <t>8682273106591</t>
  </si>
  <si>
    <t>01254025</t>
  </si>
  <si>
    <t>8682273106614</t>
  </si>
  <si>
    <t>01254027</t>
  </si>
  <si>
    <t>8682273106621</t>
  </si>
  <si>
    <t>01254028</t>
  </si>
  <si>
    <t>8682273106638</t>
  </si>
  <si>
    <t>01254029</t>
  </si>
  <si>
    <t>8682273106645</t>
  </si>
  <si>
    <t>01254030</t>
  </si>
  <si>
    <t>8682273106652</t>
  </si>
  <si>
    <t>01254031</t>
  </si>
  <si>
    <t>8682273134259</t>
  </si>
  <si>
    <t>01266282</t>
  </si>
  <si>
    <t>Zero Gravity Latex</t>
  </si>
  <si>
    <t>8682273568207</t>
  </si>
  <si>
    <t>01455103</t>
  </si>
  <si>
    <t>8682273568214</t>
  </si>
  <si>
    <t>01455104</t>
  </si>
  <si>
    <t>8682273568221</t>
  </si>
  <si>
    <t>01455105</t>
  </si>
  <si>
    <t>8682273568238</t>
  </si>
  <si>
    <t>01455106</t>
  </si>
  <si>
    <t>8682273568245</t>
  </si>
  <si>
    <t>01455107</t>
  </si>
  <si>
    <t>8682273568252</t>
  </si>
  <si>
    <t>01455108</t>
  </si>
  <si>
    <t>8682273568269</t>
  </si>
  <si>
    <t>01455109</t>
  </si>
  <si>
    <t>8682273568276</t>
  </si>
  <si>
    <t>01455110</t>
  </si>
  <si>
    <t>https://yatasinternational.github.io/Products-Photos/50501003380001.png</t>
  </si>
  <si>
    <t>https://yatasinternational.github.io/Products-Photos/50501003380002.png</t>
  </si>
  <si>
    <t>https://yatasinternational.github.io/Products-Photos/50501003380003.png</t>
  </si>
  <si>
    <t>https://yatasinternational.github.io/Products-Photos/50501003380004.png</t>
  </si>
  <si>
    <t>https://yatasinternational.github.io/Products-Photos/50501003380005.png</t>
  </si>
  <si>
    <t>https://yatasinternational.github.io/Products-Photos/50501003380006.png</t>
  </si>
  <si>
    <t>https://yatasinternational.github.io/Products-Photos/50501003380007.png</t>
  </si>
  <si>
    <t>https://yatasinternational.github.io/Products-Photos/50501003380008.png</t>
  </si>
  <si>
    <t>https://yatasinternational.github.io/Products-Photos/50501003380009.png</t>
  </si>
  <si>
    <t>https://yatasinternational.github.io/Products-Photos/50501002850001.png</t>
  </si>
  <si>
    <t>https://yatasinternational.github.io/Products-Photos/50501002850002.png</t>
  </si>
  <si>
    <t>https://yatasinternational.github.io/Products-Photos/50501002850003.png</t>
  </si>
  <si>
    <t>https://yatasinternational.github.io/Products-Photos/50501002850004.png</t>
  </si>
  <si>
    <t>https://yatasinternational.github.io/Products-Photos/50501002850005.png</t>
  </si>
  <si>
    <t>https://yatasinternational.github.io/Products-Photos/50501002850006.png</t>
  </si>
  <si>
    <t>https://yatasinternational.github.io/Products-Photos/50501002850007.png</t>
  </si>
  <si>
    <t>https://yatasinternational.github.io/Products-Photos/50501000030003.png</t>
  </si>
  <si>
    <t>https://yatasinternational.github.io/Products-Photos/50501000030004.png</t>
  </si>
  <si>
    <t>https://yatasinternational.github.io/Products-Photos/50501000030001.png</t>
  </si>
  <si>
    <t>https://yatasinternational.github.io/Products-Photos/50501000030005.png</t>
  </si>
  <si>
    <t>https://yatasinternational.github.io/Products-Photos/50501000030006.png</t>
  </si>
  <si>
    <t>https://yatasinternational.github.io/Products-Photos/50501000030007.png</t>
  </si>
  <si>
    <t>https://yatasinternational.github.io/Products-Photos/50501000030008.png</t>
  </si>
  <si>
    <t>https://yatasinternational.github.io/Products-Photos/50501000030009.png</t>
  </si>
  <si>
    <t>https://yatasinternational.github.io/Products-Photos/50501000030002.png</t>
  </si>
  <si>
    <t>https://yatasinternational.github.io/Products-Photos/50501000030010.png</t>
  </si>
  <si>
    <t>https://yatasinternational.github.io/Products-Photos/50501000020001.png</t>
  </si>
  <si>
    <t>https://yatasinternational.github.io/Products-Photos/50501000020003.png</t>
  </si>
  <si>
    <t>https://yatasinternational.github.io/Products-Photos/50501003160002.png</t>
  </si>
  <si>
    <t>https://yatasinternational.github.io/Products-Photos/50501003160003.png</t>
  </si>
  <si>
    <t>https://yatasinternational.github.io/Products-Photos/50501003160007.png</t>
  </si>
  <si>
    <t>https://yatasinternational.github.io/Products-Photos/50501000020006.png</t>
  </si>
  <si>
    <t>https://yatasinternational.github.io/Products-Photos/50501003160005.png</t>
  </si>
  <si>
    <t>https://yatasinternational.github.io/Products-Photos/50501003160006.png</t>
  </si>
  <si>
    <t>https://yatasinternational.github.io/Products-Photos/50501000020009.png</t>
  </si>
  <si>
    <t>https://yatasinternational.github.io/Products-Photos/50501001810001.png</t>
  </si>
  <si>
    <t>https://yatasinternational.github.io/Products-Photos/50501001810003.png</t>
  </si>
  <si>
    <t>https://yatasinternational.github.io/Products-Photos/50501001810004.png</t>
  </si>
  <si>
    <t>https://yatasinternational.github.io/Products-Photos/50501001810005.png</t>
  </si>
  <si>
    <t>https://yatasinternational.github.io/Products-Photos/50501001810010.png</t>
  </si>
  <si>
    <t>https://yatasinternational.github.io/Products-Photos/50501001810006.png</t>
  </si>
  <si>
    <t>https://yatasinternational.github.io/Products-Photos/50501001810007.png</t>
  </si>
  <si>
    <t>https://yatasinternational.github.io/Products-Photos/50501001810008.png</t>
  </si>
  <si>
    <t>https://yatasinternational.github.io/Products-Photos/50501001810009.png</t>
  </si>
  <si>
    <t>https://yatasinternational.github.io/Products-Photos/50501000050003.png</t>
  </si>
  <si>
    <t>https://yatasinternational.github.io/Products-Photos/50501000050004.png</t>
  </si>
  <si>
    <t>https://yatasinternational.github.io/Products-Photos/50501000050005.png</t>
  </si>
  <si>
    <t>https://yatasinternational.github.io/Products-Photos/50501000050006.png</t>
  </si>
  <si>
    <t>https://yatasinternational.github.io/Products-Photos/50501000050007.png</t>
  </si>
  <si>
    <t>https://yatasinternational.github.io/Products-Photos/50501000050008.png</t>
  </si>
  <si>
    <t>https://yatasinternational.github.io/Products-Photos/50501000050010.png</t>
  </si>
  <si>
    <t>https://yatasinternational.github.io/Products-Photos/50501000050011.png</t>
  </si>
  <si>
    <t>https://yatasinternational.github.io/Products-Photos/50501000050012.png</t>
  </si>
  <si>
    <t>https://yatasinternational.github.io/Products-Photos/50501003100002.png</t>
  </si>
  <si>
    <t>https://yatasinternational.github.io/Products-Photos/50501003100003.png</t>
  </si>
  <si>
    <t>https://yatasinternational.github.io/Products-Photos/50501003100005.png</t>
  </si>
  <si>
    <t>https://yatasinternational.github.io/Products-Photos/50501003100006.png</t>
  </si>
  <si>
    <t>https://yatasinternational.github.io/Products-Photos/50501001520002.png</t>
  </si>
  <si>
    <t>https://yatasinternational.github.io/Products-Photos/50501001520006.png</t>
  </si>
  <si>
    <t>https://yatasinternational.github.io/Products-Photos/50501000000137.png</t>
  </si>
  <si>
    <t>https://yatasinternational.github.io/Products-Photos/50501000090011.png</t>
  </si>
  <si>
    <t>https://yatasinternational.github.io/Products-Photos/50501000090002.png</t>
  </si>
  <si>
    <t>https://yatasinternational.github.io/Products-Photos/50501000090003.png</t>
  </si>
  <si>
    <t>https://yatasinternational.github.io/Products-Photos/50501000090004.png</t>
  </si>
  <si>
    <t>https://yatasinternational.github.io/Products-Photos/50501000090005.png</t>
  </si>
  <si>
    <t>https://yatasinternational.github.io/Products-Photos/50501000090006.png</t>
  </si>
  <si>
    <t>https://yatasinternational.github.io/Products-Photos/50501000090007.png</t>
  </si>
  <si>
    <t>https://yatasinternational.github.io/Products-Photos/50501000090008.png</t>
  </si>
  <si>
    <t>https://yatasinternational.github.io/Products-Photos/50501000090009.png</t>
  </si>
  <si>
    <t>https://yatasinternational.github.io/Products-Photos/50501001530005.png</t>
  </si>
  <si>
    <t>https://yatasinternational.github.io/Products-Photos/50501001530006.png</t>
  </si>
  <si>
    <t>https://yatasinternational.github.io/Products-Photos/50501001530007.png</t>
  </si>
  <si>
    <t>https://yatasinternational.github.io/Products-Photos/50501001530008.png</t>
  </si>
  <si>
    <t>https://yatasinternational.github.io/Products-Photos/50501001530009.png</t>
  </si>
  <si>
    <t>https://yatasinternational.github.io/Products-Photos/50501001530001.png</t>
  </si>
  <si>
    <t>https://yatasinternational.github.io/Products-Photos/50501001530002.png</t>
  </si>
  <si>
    <t>https://yatasinternational.github.io/Products-Photos/50501001530010.png</t>
  </si>
  <si>
    <t>https://yatasinternational.github.io/Products-Photos/50501001530011.png</t>
  </si>
  <si>
    <t>https://yatasinternational.github.io/Products-Photos/50501000210001.png</t>
  </si>
  <si>
    <t>https://yatasinternational.github.io/Products-Photos/50501000210003.png</t>
  </si>
  <si>
    <t>https://yatasinternational.github.io/Products-Photos/50501000210004.png</t>
  </si>
  <si>
    <t>https://yatasinternational.github.io/Products-Photos/50501000210005.png</t>
  </si>
  <si>
    <t>https://yatasinternational.github.io/Products-Photos/50501000210007.png</t>
  </si>
  <si>
    <t>https://yatasinternational.github.io/Products-Photos/50501000210008.png</t>
  </si>
  <si>
    <t>https://yatasinternational.github.io/Products-Photos/50501003110006.png</t>
  </si>
  <si>
    <t>https://yatasinternational.github.io/Products-Photos/50501003260001.png</t>
  </si>
  <si>
    <t>https://yatasinternational.github.io/Products-Photos/50501003110002.png</t>
  </si>
  <si>
    <t>https://yatasinternational.github.io/Products-Photos/50501003110003.png</t>
  </si>
  <si>
    <t>https://yatasinternational.github.io/Products-Photos/50501000003860.png</t>
  </si>
  <si>
    <t>https://yatasinternational.github.io/Products-Photos/50501000003861.png</t>
  </si>
  <si>
    <t>https://yatasinternational.github.io/Products-Photos/50501000003862.png</t>
  </si>
  <si>
    <t>https://yatasinternational.github.io/Products-Photos/50501000003864.png</t>
  </si>
  <si>
    <t>https://yatasinternational.github.io/Products-Photos/50501000003865.png</t>
  </si>
  <si>
    <t>https://yatasinternational.github.io/Products-Photos/50501000003866.png</t>
  </si>
  <si>
    <t>https://yatasinternational.github.io/Products-Photos/50501000003867.png</t>
  </si>
  <si>
    <t>https://yatasinternational.github.io/Products-Photos/50501003020001.png</t>
  </si>
  <si>
    <t>https://yatasinternational.github.io/Products-Photos/50501003020002.png</t>
  </si>
  <si>
    <t>https://yatasinternational.github.io/Products-Photos/50501003020003.png</t>
  </si>
  <si>
    <t>https://yatasinternational.github.io/Products-Photos/50501003020004.png</t>
  </si>
  <si>
    <t>https://yatasinternational.github.io/Products-Photos/50501003020005.png</t>
  </si>
  <si>
    <t>https://yatasinternational.github.io/Products-Photos/50501003020006.png</t>
  </si>
  <si>
    <t>https://yatasinternational.github.io/Products-Photos/50501003020007.png</t>
  </si>
  <si>
    <t>https://yatasinternational.github.io/Products-Photos/50501003020008.png</t>
  </si>
  <si>
    <t>https://yatasinternational.github.io/Products-Photos/50501003020009.png</t>
  </si>
  <si>
    <t>https://yatasinternational.github.io/Products-Photos/50501003020010.png</t>
  </si>
  <si>
    <t>https://yatasinternational.github.io/Products-Photos/50501000000165.png</t>
  </si>
  <si>
    <t>https://yatasinternational.github.io/Products-Photos/50501000440001.png</t>
  </si>
  <si>
    <t>https://yatasinternational.github.io/Products-Photos/50501000440002.png</t>
  </si>
  <si>
    <t>https://yatasinternational.github.io/Products-Photos/50501000440003.png</t>
  </si>
  <si>
    <t>https://yatasinternational.github.io/Products-Photos/50501000440004.png</t>
  </si>
  <si>
    <t>https://yatasinternational.github.io/Products-Photos/50501000440005.png</t>
  </si>
  <si>
    <t>https://yatasinternational.github.io/Products-Photos/50501000440006.png</t>
  </si>
  <si>
    <t>https://yatasinternational.github.io/Products-Photos/50501000440007.png</t>
  </si>
  <si>
    <t>https://yatasinternational.github.io/Products-Photos/50501000440008.png</t>
  </si>
  <si>
    <t>https://yatasinternational.github.io/Products-Photos/50501000440009.png</t>
  </si>
  <si>
    <t>https://yatasinternational.github.io/Products-Photos/50501000003873.png</t>
  </si>
  <si>
    <t>https://yatasinternational.github.io/Products-Photos/50501000003874.png</t>
  </si>
  <si>
    <t>https://yatasinternational.github.io/Products-Photos/50501000003875.png</t>
  </si>
  <si>
    <t>https://yatasinternational.github.io/Products-Photos/50501003310001.png</t>
  </si>
  <si>
    <t>https://yatasinternational.github.io/Products-Photos/50501003310002.png</t>
  </si>
  <si>
    <t>https://yatasinternational.github.io/Products-Photos/50501003310003.png</t>
  </si>
  <si>
    <t>https://yatasinternational.github.io/Products-Photos/50501003310004.png</t>
  </si>
  <si>
    <t>https://yatasinternational.github.io/Products-Photos/50501003310005.png</t>
  </si>
  <si>
    <t>https://yatasinternational.github.io/Products-Photos/50501003310006.png</t>
  </si>
  <si>
    <t>https://yatasinternational.github.io/Products-Photos/50501000630003.png</t>
  </si>
  <si>
    <t>https://yatasinternational.github.io/Products-Photos/50501000630004.png</t>
  </si>
  <si>
    <t>https://yatasinternational.github.io/Products-Photos/50501000630005.png</t>
  </si>
  <si>
    <t>https://yatasinternational.github.io/Products-Photos/50501000630006.png</t>
  </si>
  <si>
    <t>https://yatasinternational.github.io/Products-Photos/50501000630007.png</t>
  </si>
  <si>
    <t>https://yatasinternational.github.io/Products-Photos/50501000630008.png</t>
  </si>
  <si>
    <t>https://yatasinternational.github.io/Products-Photos/50501000630010.png</t>
  </si>
  <si>
    <t>https://yatasinternational.github.io/Products-Photos/50501000630009.png</t>
  </si>
  <si>
    <t>https://yatasinternational.github.io/Products-Photos/50501002380003.png</t>
  </si>
  <si>
    <t>https://yatasinternational.github.io/Products-Photos/50501002380001.png</t>
  </si>
  <si>
    <t>https://yatasinternational.github.io/Products-Photos/50501002380002.png</t>
  </si>
  <si>
    <t>https://yatasinternational.github.io/Products-Photos/50501003450001.png</t>
  </si>
  <si>
    <t>https://yatasinternational.github.io/Products-Photos/50501003450002.png</t>
  </si>
  <si>
    <t>https://yatasinternational.github.io/Products-Photos/50501003450003.png</t>
  </si>
  <si>
    <t>https://yatasinternational.github.io/Products-Photos/50501003450004.png</t>
  </si>
  <si>
    <t>https://yatasinternational.github.io/Products-Photos/50501003450005.png</t>
  </si>
  <si>
    <t>https://yatasinternational.github.io/Products-Photos/50501003450006.png</t>
  </si>
  <si>
    <t>https://yatasinternational.github.io/Products-Photos/50501003450007.png</t>
  </si>
  <si>
    <t>https://yatasinternational.github.io/Products-Photos/50501003450008.png</t>
  </si>
  <si>
    <t>https://yatasinternational.github.io/Products-Photos/50501000000158.png</t>
  </si>
  <si>
    <t>https://yatasinternational.github.io/Products-Photos/50501000000200.png</t>
  </si>
  <si>
    <t>https://yatasinternational.github.io/Products-Photos/50501000000214.png</t>
  </si>
  <si>
    <t>https://yatasinternational.github.io/Products-Photos/50501000000237.png</t>
  </si>
  <si>
    <t>https://yatasinternational.github.io/Products-Photos/50501000000264.png</t>
  </si>
  <si>
    <t>https://yatasinternational.github.io/Products-Photos/50501000000292.png</t>
  </si>
  <si>
    <t>https://yatasinternational.github.io/Products-Photos/50501000000312.png</t>
  </si>
  <si>
    <t>https://yatasinternational.github.io/Products-Photos/50501000000345.png</t>
  </si>
  <si>
    <t>https://yatasinternational.github.io/Products-Photos/50501003390001.png</t>
  </si>
  <si>
    <t>https://yatasinternational.github.io/Products-Photos/50501003390002.png</t>
  </si>
  <si>
    <t>https://yatasinternational.github.io/Products-Photos/50501003390003.png</t>
  </si>
  <si>
    <t>https://yatasinternational.github.io/Products-Photos/50501003390004.png</t>
  </si>
  <si>
    <t>https://yatasinternational.github.io/Products-Photos/50501003390005.png</t>
  </si>
  <si>
    <t>https://yatasinternational.github.io/Products-Photos/50501003390006.png</t>
  </si>
  <si>
    <t>https://yatasinternational.github.io/Products-Photos/50501003390007.png</t>
  </si>
  <si>
    <t>https://yatasinternational.github.io/Products-Photos/50501003390008.png</t>
  </si>
  <si>
    <t>https://yatasinternational.github.io/Products-Photos/50501003390009.png</t>
  </si>
  <si>
    <t>https://yatasinternational.github.io/Products-Photos/50501000790001.png</t>
  </si>
  <si>
    <t>https://yatasinternational.github.io/Products-Photos/50501000790003.png</t>
  </si>
  <si>
    <t>https://yatasinternational.github.io/Products-Photos/50501000790004.png</t>
  </si>
  <si>
    <t>https://yatasinternational.github.io/Products-Photos/50501000790005.png</t>
  </si>
  <si>
    <t>https://yatasinternational.github.io/Products-Photos/50501000790006.png</t>
  </si>
  <si>
    <t>https://yatasinternational.github.io/Products-Photos/50501000790007.png</t>
  </si>
  <si>
    <t>https://yatasinternational.github.io/Products-Photos/50501000790008.png</t>
  </si>
  <si>
    <t>https://yatasinternational.github.io/Products-Photos/50501003260068.png</t>
  </si>
  <si>
    <t>https://yatasinternational.github.io/Products-Photos/50501003260069.png</t>
  </si>
  <si>
    <t>https://yatasinternational.github.io/Products-Photos/50501003260070.png</t>
  </si>
  <si>
    <t>https://yatasinternational.github.io/Products-Photos/50501003260071.png</t>
  </si>
  <si>
    <t>https://yatasinternational.github.io/Products-Photos/50501003260072.png</t>
  </si>
  <si>
    <t>https://yatasinternational.github.io/Products-Photos/50501000870001.png</t>
  </si>
  <si>
    <t>https://yatasinternational.github.io/Products-Photos/50501000870002.png</t>
  </si>
  <si>
    <t>https://yatasinternational.github.io/Products-Photos/50501000870008.png</t>
  </si>
  <si>
    <t>https://yatasinternational.github.io/Products-Photos/50501000870003.png</t>
  </si>
  <si>
    <t>https://yatasinternational.github.io/Products-Photos/50501000870004.png</t>
  </si>
  <si>
    <t>https://yatasinternational.github.io/Products-Photos/50501000870005.png</t>
  </si>
  <si>
    <t>https://yatasinternational.github.io/Products-Photos/50501000870009.png</t>
  </si>
  <si>
    <t>https://yatasinternational.github.io/Products-Photos/50501000870006.png</t>
  </si>
  <si>
    <t>https://yatasinternational.github.io/Products-Photos/50501000870007.png</t>
  </si>
  <si>
    <t>https://yatasinternational.github.io/Products-Photos/50501000870010.png</t>
  </si>
  <si>
    <t>https://yatasinternational.github.io/Products-Photos/50501000910001.png</t>
  </si>
  <si>
    <t>https://yatasinternational.github.io/Products-Photos/50501000910002.png</t>
  </si>
  <si>
    <t>https://yatasinternational.github.io/Products-Photos/50501000910003.png</t>
  </si>
  <si>
    <t>https://yatasinternational.github.io/Products-Photos/50501000910004.png</t>
  </si>
  <si>
    <t>https://yatasinternational.github.io/Products-Photos/50501000910005.png</t>
  </si>
  <si>
    <t>https://yatasinternational.github.io/Products-Photos/50501000910009.png</t>
  </si>
  <si>
    <t>https://yatasinternational.github.io/Products-Photos/50501000910010.png</t>
  </si>
  <si>
    <t>https://yatasinternational.github.io/Products-Photos/50501002860001.png</t>
  </si>
  <si>
    <t>https://yatasinternational.github.io/Products-Photos/50501002860002.png</t>
  </si>
  <si>
    <t>https://yatasinternational.github.io/Products-Photos/50501002860003.png</t>
  </si>
  <si>
    <t>https://yatasinternational.github.io/Products-Photos/50501002860004.png</t>
  </si>
  <si>
    <t>https://yatasinternational.github.io/Products-Photos/50501002860005.png</t>
  </si>
  <si>
    <t>https://yatasinternational.github.io/Products-Photos/50501002860006.png</t>
  </si>
  <si>
    <t>https://yatasinternational.github.io/Products-Photos/50501002860007.png</t>
  </si>
  <si>
    <t>https://yatasinternational.github.io/Products-Photos/50501002860008.png</t>
  </si>
  <si>
    <t>https://yatasinternational.github.io/Products-Photos/50501002010001.png</t>
  </si>
  <si>
    <t>https://yatasinternational.github.io/Products-Photos/50501002010002.png</t>
  </si>
  <si>
    <t>https://yatasinternational.github.io/Products-Photos/50501002010003.png</t>
  </si>
  <si>
    <t>https://yatasinternational.github.io/Products-Photos/50501002010004.png</t>
  </si>
  <si>
    <t>https://yatasinternational.github.io/Products-Photos/50501002010008.png</t>
  </si>
  <si>
    <t>https://yatasinternational.github.io/Products-Photos/50501002010005.png</t>
  </si>
  <si>
    <t>https://yatasinternational.github.io/Products-Photos/50501002010006.png</t>
  </si>
  <si>
    <t>https://yatasinternational.github.io/Products-Photos/50501000001960.png</t>
  </si>
  <si>
    <t>https://yatasinternational.github.io/Products-Photos/50501000001962.png</t>
  </si>
  <si>
    <t>https://yatasinternational.github.io/Products-Photos/50501000001963.png</t>
  </si>
  <si>
    <t>https://yatasinternational.github.io/Products-Photos/50501000001964.png</t>
  </si>
  <si>
    <t>https://yatasinternational.github.io/Products-Photos/50501000001966.png</t>
  </si>
  <si>
    <t>https://yatasinternational.github.io/Products-Photos/50501000001967.png</t>
  </si>
  <si>
    <t>https://yatasinternational.github.io/Products-Photos/50501001070001.png</t>
  </si>
  <si>
    <t>https://yatasinternational.github.io/Products-Photos/50501001070009.png</t>
  </si>
  <si>
    <t>https://yatasinternational.github.io/Products-Photos/50501001070002.png</t>
  </si>
  <si>
    <t>https://yatasinternational.github.io/Products-Photos/50501001070003.png</t>
  </si>
  <si>
    <t>https://yatasinternational.github.io/Products-Photos/50501001070004.png</t>
  </si>
  <si>
    <t>https://yatasinternational.github.io/Products-Photos/50501001070006.png</t>
  </si>
  <si>
    <t>https://yatasinternational.github.io/Products-Photos/50501001070007.png</t>
  </si>
  <si>
    <t>https://yatasinternational.github.io/Products-Photos/50501001190001.png</t>
  </si>
  <si>
    <t>https://yatasinternational.github.io/Products-Photos/50501001190003.png</t>
  </si>
  <si>
    <t>https://yatasinternational.github.io/Products-Photos/50501001190004.png</t>
  </si>
  <si>
    <t>https://yatasinternational.github.io/Products-Photos/50501001190005.png</t>
  </si>
  <si>
    <t>https://yatasinternational.github.io/Products-Photos/50501001190006.png</t>
  </si>
  <si>
    <t>https://yatasinternational.github.io/Products-Photos/50501001190007.png</t>
  </si>
  <si>
    <t>https://yatasinternational.github.io/Products-Photos/50501001190008.png</t>
  </si>
  <si>
    <t>https://yatasinternational.github.io/Products-Photos/50501001100001.png</t>
  </si>
  <si>
    <t>https://yatasinternational.github.io/Products-Photos/50501001100002.png</t>
  </si>
  <si>
    <t>https://yatasinternational.github.io/Products-Photos/50501001100003.png</t>
  </si>
  <si>
    <t>https://yatasinternational.github.io/Products-Photos/50501001100004.png</t>
  </si>
  <si>
    <t>https://yatasinternational.github.io/Products-Photos/50501001100006.png</t>
  </si>
  <si>
    <t>https://yatasinternational.github.io/Products-Photos/50501001100007.png</t>
  </si>
  <si>
    <t>https://yatasinternational.github.io/Products-Photos/50501001100008.png</t>
  </si>
  <si>
    <t>https://yatasinternational.github.io/Products-Photos/50501001100010.png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</si>
</sst>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0"/>
      <name val="Arial"/>
      <family val="2"/>
      <charset val="162"/>
    </font>
    <font>
      <b/>
      <sz val="10"/>
      <color theme="0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3"/>
  <sheetViews>
    <sheetView tabSelected="1" zoomScale="90" zoomScaleNormal="90" workbookViewId="0">
      <pane ySplit="1" topLeftCell="A2" activePane="bottomLeft" state="frozen"/>
      <selection pane="bottomLeft" activeCell="D6" sqref="D6"/>
    </sheetView>
  </sheetViews>
  <sheetFormatPr defaultRowHeight="12.75" x14ac:dyDescent="0.2"/>
  <cols>
    <col min="1" max="1" width="16.85546875" style="8" bestFit="1" customWidth="1"/>
    <col min="2" max="3" width="13.28515625" style="9" bestFit="1" customWidth="1"/>
    <col min="4" max="4" width="21.140625" style="9" bestFit="1" customWidth="1"/>
    <col min="5" max="5" width="11.85546875" style="9" bestFit="1" customWidth="1"/>
    <col min="6" max="6" width="11.85546875" style="9" customWidth="1"/>
    <col min="7" max="7" width="22.85546875" style="9" customWidth="1"/>
    <col min="8" max="8" width="20" style="9" bestFit="1" customWidth="1"/>
    <col min="9" max="9" width="19.85546875" style="9" bestFit="1" customWidth="1"/>
    <col min="10" max="10" width="16.5703125" style="9" bestFit="1" customWidth="1"/>
    <col min="11" max="11" width="21.85546875" style="9" bestFit="1" customWidth="1"/>
    <col min="12" max="12" width="21.5703125" style="9" bestFit="1" customWidth="1"/>
    <col min="13" max="13" width="14.140625" style="9" bestFit="1" customWidth="1"/>
    <col min="14" max="14" width="12.28515625" style="9" bestFit="1" customWidth="1"/>
    <col min="15" max="15" width="13.140625" style="9" bestFit="1" customWidth="1"/>
    <col min="16" max="16" width="20" style="9" bestFit="1" customWidth="1"/>
    <col min="17" max="17" width="20.28515625" style="11" bestFit="1" customWidth="1"/>
    <col min="18" max="18" width="22.140625" style="12" bestFit="1" customWidth="1"/>
    <col min="19" max="19" width="22.42578125" style="12" bestFit="1" customWidth="1"/>
    <col min="20" max="20" width="67" style="9" bestFit="1" customWidth="1"/>
    <col min="21" max="22" width="9.140625" style="12"/>
    <col min="23" max="16384" width="9.140625" style="9"/>
  </cols>
  <sheetData>
    <row r="1" spans="1:22" s="7" customFormat="1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 t="s">
        <v>18</v>
      </c>
      <c r="T1" s="2" t="s">
        <v>19</v>
      </c>
      <c r="U1" s="6"/>
      <c r="V1" s="6"/>
    </row>
    <row r="2" spans="1:22" ht="12.75" customHeight="1" x14ac:dyDescent="0.2">
      <c r="A2" s="8">
        <v>50501003380001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>
        <v>31</v>
      </c>
      <c r="H2" s="9">
        <v>179</v>
      </c>
      <c r="I2" s="9">
        <v>154</v>
      </c>
      <c r="K2" s="9">
        <f t="shared" ref="K2:K27" si="0">H2*J2</f>
        <v>0</v>
      </c>
      <c r="L2" s="9">
        <f t="shared" ref="L2:L27" si="1">J2*I2</f>
        <v>0</v>
      </c>
      <c r="M2" s="9" t="s">
        <v>25</v>
      </c>
      <c r="N2" s="9" t="s">
        <v>26</v>
      </c>
      <c r="O2" s="9" t="s">
        <v>27</v>
      </c>
      <c r="P2" s="10">
        <v>0.51300000000000001</v>
      </c>
      <c r="Q2" s="11">
        <v>22.05</v>
      </c>
      <c r="R2" s="12">
        <f t="shared" ref="R2:R27" si="2">P2*J2</f>
        <v>0</v>
      </c>
      <c r="S2" s="12">
        <f t="shared" ref="S2:S27" si="3">Q2*J2</f>
        <v>0</v>
      </c>
      <c r="T2" s="9" t="s">
        <v>541</v>
      </c>
    </row>
    <row r="3" spans="1:22" ht="12.75" customHeight="1" x14ac:dyDescent="0.2">
      <c r="A3" s="8">
        <v>50501003380002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28</v>
      </c>
      <c r="G3" s="9">
        <v>31</v>
      </c>
      <c r="H3" s="9">
        <v>179</v>
      </c>
      <c r="I3" s="9">
        <v>154</v>
      </c>
      <c r="K3" s="9">
        <f t="shared" si="0"/>
        <v>0</v>
      </c>
      <c r="L3" s="9">
        <f t="shared" si="1"/>
        <v>0</v>
      </c>
      <c r="M3" s="9" t="s">
        <v>29</v>
      </c>
      <c r="N3" s="9" t="s">
        <v>30</v>
      </c>
      <c r="O3" s="9" t="s">
        <v>27</v>
      </c>
      <c r="P3" s="10">
        <v>0.54</v>
      </c>
      <c r="Q3" s="11">
        <v>23.21</v>
      </c>
      <c r="R3" s="12">
        <f t="shared" si="2"/>
        <v>0</v>
      </c>
      <c r="S3" s="12">
        <f t="shared" si="3"/>
        <v>0</v>
      </c>
      <c r="T3" s="9" t="s">
        <v>542</v>
      </c>
    </row>
    <row r="4" spans="1:22" ht="12.75" customHeight="1" x14ac:dyDescent="0.2">
      <c r="A4" s="8">
        <v>50501003380003</v>
      </c>
      <c r="B4" s="9" t="s">
        <v>20</v>
      </c>
      <c r="C4" s="9" t="s">
        <v>21</v>
      </c>
      <c r="D4" s="9" t="s">
        <v>22</v>
      </c>
      <c r="E4" s="9" t="s">
        <v>31</v>
      </c>
      <c r="F4" s="9" t="s">
        <v>32</v>
      </c>
      <c r="G4" s="9">
        <v>31</v>
      </c>
      <c r="H4" s="9">
        <v>189</v>
      </c>
      <c r="I4" s="9">
        <v>163</v>
      </c>
      <c r="K4" s="9">
        <f t="shared" si="0"/>
        <v>0</v>
      </c>
      <c r="L4" s="9">
        <f t="shared" si="1"/>
        <v>0</v>
      </c>
      <c r="M4" s="9" t="s">
        <v>33</v>
      </c>
      <c r="N4" s="9" t="s">
        <v>34</v>
      </c>
      <c r="O4" s="9" t="s">
        <v>27</v>
      </c>
      <c r="P4" s="10">
        <v>0.6</v>
      </c>
      <c r="Q4" s="11">
        <v>26.26</v>
      </c>
      <c r="R4" s="12">
        <f t="shared" si="2"/>
        <v>0</v>
      </c>
      <c r="S4" s="12">
        <f t="shared" si="3"/>
        <v>0</v>
      </c>
      <c r="T4" s="9" t="s">
        <v>543</v>
      </c>
    </row>
    <row r="5" spans="1:22" ht="12.75" customHeight="1" x14ac:dyDescent="0.2">
      <c r="A5" s="8">
        <v>50501003380004</v>
      </c>
      <c r="B5" s="9" t="s">
        <v>20</v>
      </c>
      <c r="C5" s="9" t="s">
        <v>21</v>
      </c>
      <c r="D5" s="9" t="s">
        <v>22</v>
      </c>
      <c r="E5" s="9" t="s">
        <v>31</v>
      </c>
      <c r="F5" s="9" t="s">
        <v>35</v>
      </c>
      <c r="G5" s="9">
        <v>31</v>
      </c>
      <c r="H5" s="9">
        <v>198</v>
      </c>
      <c r="I5" s="9">
        <v>171</v>
      </c>
      <c r="K5" s="9">
        <f t="shared" si="0"/>
        <v>0</v>
      </c>
      <c r="L5" s="9">
        <f t="shared" si="1"/>
        <v>0</v>
      </c>
      <c r="M5" s="9" t="s">
        <v>36</v>
      </c>
      <c r="N5" s="9" t="s">
        <v>37</v>
      </c>
      <c r="O5" s="9" t="s">
        <v>27</v>
      </c>
      <c r="P5" s="10">
        <v>0.72</v>
      </c>
      <c r="Q5" s="11">
        <v>31.01</v>
      </c>
      <c r="R5" s="12">
        <f t="shared" si="2"/>
        <v>0</v>
      </c>
      <c r="S5" s="12">
        <f t="shared" si="3"/>
        <v>0</v>
      </c>
      <c r="T5" s="9" t="s">
        <v>544</v>
      </c>
    </row>
    <row r="6" spans="1:22" ht="12.75" customHeight="1" x14ac:dyDescent="0.2">
      <c r="A6" s="8">
        <v>50501003380005</v>
      </c>
      <c r="B6" s="9" t="s">
        <v>20</v>
      </c>
      <c r="C6" s="9" t="s">
        <v>21</v>
      </c>
      <c r="D6" s="9" t="s">
        <v>22</v>
      </c>
      <c r="E6" s="9" t="s">
        <v>31</v>
      </c>
      <c r="F6" s="9" t="s">
        <v>38</v>
      </c>
      <c r="G6" s="9">
        <v>31</v>
      </c>
      <c r="H6" s="9">
        <v>217</v>
      </c>
      <c r="I6" s="9">
        <v>187</v>
      </c>
      <c r="K6" s="9">
        <f t="shared" si="0"/>
        <v>0</v>
      </c>
      <c r="L6" s="9">
        <f t="shared" si="1"/>
        <v>0</v>
      </c>
      <c r="M6" s="9" t="s">
        <v>39</v>
      </c>
      <c r="N6" s="9" t="s">
        <v>40</v>
      </c>
      <c r="O6" s="9" t="s">
        <v>27</v>
      </c>
      <c r="P6" s="10">
        <v>0.79800000000000004</v>
      </c>
      <c r="Q6" s="11">
        <v>34.729999999999997</v>
      </c>
      <c r="R6" s="12">
        <f t="shared" si="2"/>
        <v>0</v>
      </c>
      <c r="S6" s="12">
        <f t="shared" si="3"/>
        <v>0</v>
      </c>
      <c r="T6" s="9" t="s">
        <v>545</v>
      </c>
    </row>
    <row r="7" spans="1:22" ht="12.75" customHeight="1" x14ac:dyDescent="0.2">
      <c r="A7" s="8">
        <v>50501003380006</v>
      </c>
      <c r="B7" s="9" t="s">
        <v>20</v>
      </c>
      <c r="C7" s="9" t="s">
        <v>21</v>
      </c>
      <c r="D7" s="9" t="s">
        <v>22</v>
      </c>
      <c r="E7" s="9" t="s">
        <v>23</v>
      </c>
      <c r="F7" s="9" t="s">
        <v>41</v>
      </c>
      <c r="G7" s="9">
        <v>31</v>
      </c>
      <c r="H7" s="9">
        <v>217</v>
      </c>
      <c r="I7" s="9">
        <v>187</v>
      </c>
      <c r="K7" s="9">
        <f t="shared" si="0"/>
        <v>0</v>
      </c>
      <c r="L7" s="9">
        <f t="shared" si="1"/>
        <v>0</v>
      </c>
      <c r="M7" s="9" t="s">
        <v>42</v>
      </c>
      <c r="N7" s="9" t="s">
        <v>43</v>
      </c>
      <c r="O7" s="9" t="s">
        <v>27</v>
      </c>
      <c r="P7" s="10">
        <v>0.84</v>
      </c>
      <c r="Q7" s="11">
        <v>36.56</v>
      </c>
      <c r="R7" s="12">
        <f t="shared" si="2"/>
        <v>0</v>
      </c>
      <c r="S7" s="12">
        <f t="shared" si="3"/>
        <v>0</v>
      </c>
      <c r="T7" s="9" t="s">
        <v>546</v>
      </c>
    </row>
    <row r="8" spans="1:22" ht="12.75" customHeight="1" x14ac:dyDescent="0.2">
      <c r="A8" s="8">
        <v>50501003380007</v>
      </c>
      <c r="B8" s="9" t="s">
        <v>20</v>
      </c>
      <c r="C8" s="9" t="s">
        <v>21</v>
      </c>
      <c r="D8" s="9" t="s">
        <v>22</v>
      </c>
      <c r="E8" s="9" t="s">
        <v>31</v>
      </c>
      <c r="F8" s="9" t="s">
        <v>44</v>
      </c>
      <c r="G8" s="9">
        <v>31</v>
      </c>
      <c r="H8" s="9">
        <v>229</v>
      </c>
      <c r="I8" s="9">
        <v>198</v>
      </c>
      <c r="K8" s="9">
        <f t="shared" si="0"/>
        <v>0</v>
      </c>
      <c r="L8" s="9">
        <f t="shared" si="1"/>
        <v>0</v>
      </c>
      <c r="M8" s="9" t="s">
        <v>45</v>
      </c>
      <c r="N8" s="9" t="s">
        <v>46</v>
      </c>
      <c r="O8" s="9" t="s">
        <v>27</v>
      </c>
      <c r="P8" s="10">
        <v>0.9</v>
      </c>
      <c r="Q8" s="11">
        <v>38.450000000000003</v>
      </c>
      <c r="R8" s="12">
        <f t="shared" si="2"/>
        <v>0</v>
      </c>
      <c r="S8" s="12">
        <f t="shared" si="3"/>
        <v>0</v>
      </c>
      <c r="T8" s="9" t="s">
        <v>547</v>
      </c>
    </row>
    <row r="9" spans="1:22" ht="12.75" customHeight="1" x14ac:dyDescent="0.2">
      <c r="A9" s="8">
        <v>50501003380008</v>
      </c>
      <c r="B9" s="9" t="s">
        <v>20</v>
      </c>
      <c r="C9" s="9" t="s">
        <v>21</v>
      </c>
      <c r="D9" s="9" t="s">
        <v>22</v>
      </c>
      <c r="E9" s="9" t="s">
        <v>31</v>
      </c>
      <c r="F9" s="9" t="s">
        <v>47</v>
      </c>
      <c r="G9" s="9">
        <v>31</v>
      </c>
      <c r="H9" s="9">
        <v>257</v>
      </c>
      <c r="I9" s="9">
        <v>222</v>
      </c>
      <c r="K9" s="9">
        <f t="shared" si="0"/>
        <v>0</v>
      </c>
      <c r="L9" s="9">
        <f t="shared" si="1"/>
        <v>0</v>
      </c>
      <c r="M9" s="9" t="s">
        <v>48</v>
      </c>
      <c r="N9" s="9" t="s">
        <v>49</v>
      </c>
      <c r="O9" s="9" t="s">
        <v>27</v>
      </c>
      <c r="P9" s="10">
        <v>0.96</v>
      </c>
      <c r="Q9" s="11">
        <v>41.23</v>
      </c>
      <c r="R9" s="12">
        <f t="shared" si="2"/>
        <v>0</v>
      </c>
      <c r="S9" s="12">
        <f t="shared" si="3"/>
        <v>0</v>
      </c>
      <c r="T9" s="9" t="s">
        <v>548</v>
      </c>
    </row>
    <row r="10" spans="1:22" ht="12.75" customHeight="1" x14ac:dyDescent="0.2">
      <c r="A10" s="8" t="s">
        <v>50</v>
      </c>
      <c r="B10" s="9" t="s">
        <v>20</v>
      </c>
      <c r="C10" s="9" t="s">
        <v>21</v>
      </c>
      <c r="D10" s="9" t="s">
        <v>22</v>
      </c>
      <c r="E10" s="9" t="s">
        <v>31</v>
      </c>
      <c r="F10" s="9" t="s">
        <v>51</v>
      </c>
      <c r="G10" s="9">
        <v>31</v>
      </c>
      <c r="H10" s="9">
        <v>283</v>
      </c>
      <c r="I10" s="9">
        <v>244</v>
      </c>
      <c r="K10" s="9">
        <f t="shared" si="0"/>
        <v>0</v>
      </c>
      <c r="L10" s="9">
        <f t="shared" si="1"/>
        <v>0</v>
      </c>
      <c r="M10" s="9" t="s">
        <v>52</v>
      </c>
      <c r="N10" s="9" t="s">
        <v>53</v>
      </c>
      <c r="O10" s="9" t="s">
        <v>27</v>
      </c>
      <c r="P10" s="10">
        <v>1.08</v>
      </c>
      <c r="Q10" s="11">
        <v>45.88</v>
      </c>
      <c r="R10" s="12">
        <f t="shared" si="2"/>
        <v>0</v>
      </c>
      <c r="S10" s="12">
        <f t="shared" si="3"/>
        <v>0</v>
      </c>
      <c r="T10" s="9" t="s">
        <v>549</v>
      </c>
    </row>
    <row r="11" spans="1:22" ht="12.75" customHeight="1" x14ac:dyDescent="0.2">
      <c r="A11" s="8">
        <v>50501002850001</v>
      </c>
      <c r="B11" s="9" t="s">
        <v>20</v>
      </c>
      <c r="C11" s="9" t="s">
        <v>21</v>
      </c>
      <c r="D11" s="9" t="s">
        <v>54</v>
      </c>
      <c r="E11" s="9" t="s">
        <v>31</v>
      </c>
      <c r="F11" s="9" t="s">
        <v>24</v>
      </c>
      <c r="G11" s="9">
        <v>29</v>
      </c>
      <c r="H11" s="9">
        <v>121</v>
      </c>
      <c r="I11" s="9">
        <v>104</v>
      </c>
      <c r="K11" s="9">
        <f t="shared" si="0"/>
        <v>0</v>
      </c>
      <c r="L11" s="9">
        <f t="shared" si="1"/>
        <v>0</v>
      </c>
      <c r="M11" s="9" t="s">
        <v>55</v>
      </c>
      <c r="N11" s="9" t="s">
        <v>56</v>
      </c>
      <c r="O11" s="9" t="s">
        <v>27</v>
      </c>
      <c r="P11" s="10">
        <v>0.496</v>
      </c>
      <c r="Q11" s="11">
        <v>22.05</v>
      </c>
      <c r="R11" s="12">
        <f t="shared" si="2"/>
        <v>0</v>
      </c>
      <c r="S11" s="12">
        <f t="shared" si="3"/>
        <v>0</v>
      </c>
      <c r="T11" s="9" t="s">
        <v>550</v>
      </c>
    </row>
    <row r="12" spans="1:22" ht="12.75" customHeight="1" x14ac:dyDescent="0.2">
      <c r="A12" s="8">
        <v>50501002850002</v>
      </c>
      <c r="B12" s="9" t="s">
        <v>20</v>
      </c>
      <c r="C12" s="9" t="s">
        <v>21</v>
      </c>
      <c r="D12" s="9" t="s">
        <v>54</v>
      </c>
      <c r="E12" s="9" t="s">
        <v>31</v>
      </c>
      <c r="F12" s="9" t="s">
        <v>32</v>
      </c>
      <c r="G12" s="9">
        <v>29</v>
      </c>
      <c r="H12" s="9">
        <v>128</v>
      </c>
      <c r="I12" s="9">
        <v>110</v>
      </c>
      <c r="K12" s="9">
        <f t="shared" si="0"/>
        <v>0</v>
      </c>
      <c r="L12" s="9">
        <f t="shared" si="1"/>
        <v>0</v>
      </c>
      <c r="M12" s="9" t="s">
        <v>57</v>
      </c>
      <c r="N12" s="9" t="s">
        <v>58</v>
      </c>
      <c r="O12" s="9" t="s">
        <v>27</v>
      </c>
      <c r="P12" s="10">
        <v>0.57999999999999996</v>
      </c>
      <c r="Q12" s="11">
        <v>26.26</v>
      </c>
      <c r="R12" s="12">
        <f t="shared" si="2"/>
        <v>0</v>
      </c>
      <c r="S12" s="12">
        <f t="shared" si="3"/>
        <v>0</v>
      </c>
      <c r="T12" s="9" t="s">
        <v>551</v>
      </c>
    </row>
    <row r="13" spans="1:22" ht="12.75" customHeight="1" x14ac:dyDescent="0.2">
      <c r="A13" s="8">
        <v>50501002850003</v>
      </c>
      <c r="B13" s="9" t="s">
        <v>20</v>
      </c>
      <c r="C13" s="9" t="s">
        <v>21</v>
      </c>
      <c r="D13" s="9" t="s">
        <v>54</v>
      </c>
      <c r="E13" s="9" t="s">
        <v>31</v>
      </c>
      <c r="F13" s="9" t="s">
        <v>35</v>
      </c>
      <c r="G13" s="9">
        <v>29</v>
      </c>
      <c r="H13" s="9">
        <v>146</v>
      </c>
      <c r="I13" s="9">
        <v>126</v>
      </c>
      <c r="K13" s="9">
        <f t="shared" si="0"/>
        <v>0</v>
      </c>
      <c r="L13" s="9">
        <f t="shared" si="1"/>
        <v>0</v>
      </c>
      <c r="M13" s="9" t="s">
        <v>59</v>
      </c>
      <c r="N13" s="9" t="s">
        <v>60</v>
      </c>
      <c r="O13" s="9" t="s">
        <v>27</v>
      </c>
      <c r="P13" s="10">
        <v>0.69599999999999995</v>
      </c>
      <c r="Q13" s="11">
        <v>31.01</v>
      </c>
      <c r="R13" s="12">
        <f t="shared" si="2"/>
        <v>0</v>
      </c>
      <c r="S13" s="12">
        <f t="shared" si="3"/>
        <v>0</v>
      </c>
      <c r="T13" s="9" t="s">
        <v>552</v>
      </c>
    </row>
    <row r="14" spans="1:22" ht="12.75" customHeight="1" x14ac:dyDescent="0.2">
      <c r="A14" s="8">
        <v>50501002850004</v>
      </c>
      <c r="B14" s="9" t="s">
        <v>20</v>
      </c>
      <c r="C14" s="9" t="s">
        <v>21</v>
      </c>
      <c r="D14" s="9" t="s">
        <v>54</v>
      </c>
      <c r="E14" s="9" t="s">
        <v>31</v>
      </c>
      <c r="F14" s="9" t="s">
        <v>38</v>
      </c>
      <c r="G14" s="9">
        <v>29</v>
      </c>
      <c r="H14" s="9">
        <v>164</v>
      </c>
      <c r="I14" s="9">
        <v>142</v>
      </c>
      <c r="K14" s="9">
        <f t="shared" si="0"/>
        <v>0</v>
      </c>
      <c r="L14" s="9">
        <f t="shared" si="1"/>
        <v>0</v>
      </c>
      <c r="M14" s="9" t="s">
        <v>61</v>
      </c>
      <c r="N14" s="9" t="s">
        <v>62</v>
      </c>
      <c r="O14" s="9" t="s">
        <v>27</v>
      </c>
      <c r="P14" s="10">
        <v>0.77100000000000002</v>
      </c>
      <c r="Q14" s="11">
        <v>34.729999999999997</v>
      </c>
      <c r="R14" s="12">
        <f t="shared" si="2"/>
        <v>0</v>
      </c>
      <c r="S14" s="12">
        <f t="shared" si="3"/>
        <v>0</v>
      </c>
      <c r="T14" s="9" t="s">
        <v>553</v>
      </c>
    </row>
    <row r="15" spans="1:22" ht="12.75" customHeight="1" x14ac:dyDescent="0.2">
      <c r="A15" s="8">
        <v>50501002850005</v>
      </c>
      <c r="B15" s="9" t="s">
        <v>20</v>
      </c>
      <c r="C15" s="9" t="s">
        <v>21</v>
      </c>
      <c r="D15" s="9" t="s">
        <v>54</v>
      </c>
      <c r="E15" s="9" t="s">
        <v>31</v>
      </c>
      <c r="F15" s="9" t="s">
        <v>44</v>
      </c>
      <c r="G15" s="9">
        <v>29</v>
      </c>
      <c r="H15" s="9">
        <v>173</v>
      </c>
      <c r="I15" s="9">
        <v>149</v>
      </c>
      <c r="K15" s="9">
        <f t="shared" si="0"/>
        <v>0</v>
      </c>
      <c r="L15" s="9">
        <f t="shared" si="1"/>
        <v>0</v>
      </c>
      <c r="M15" s="9" t="s">
        <v>63</v>
      </c>
      <c r="N15" s="9" t="s">
        <v>64</v>
      </c>
      <c r="O15" s="9" t="s">
        <v>27</v>
      </c>
      <c r="P15" s="10">
        <v>0.87</v>
      </c>
      <c r="Q15" s="11">
        <v>38.450000000000003</v>
      </c>
      <c r="R15" s="12">
        <f t="shared" si="2"/>
        <v>0</v>
      </c>
      <c r="S15" s="12">
        <f t="shared" si="3"/>
        <v>0</v>
      </c>
      <c r="T15" s="9" t="s">
        <v>554</v>
      </c>
    </row>
    <row r="16" spans="1:22" ht="12.75" customHeight="1" x14ac:dyDescent="0.2">
      <c r="A16" s="8">
        <v>50501002850006</v>
      </c>
      <c r="B16" s="9" t="s">
        <v>20</v>
      </c>
      <c r="C16" s="9" t="s">
        <v>21</v>
      </c>
      <c r="D16" s="9" t="s">
        <v>54</v>
      </c>
      <c r="E16" s="9" t="s">
        <v>31</v>
      </c>
      <c r="F16" s="9" t="s">
        <v>47</v>
      </c>
      <c r="G16" s="9">
        <v>29</v>
      </c>
      <c r="H16" s="9">
        <v>183</v>
      </c>
      <c r="I16" s="9">
        <v>157</v>
      </c>
      <c r="K16" s="9">
        <f t="shared" si="0"/>
        <v>0</v>
      </c>
      <c r="L16" s="9">
        <f t="shared" si="1"/>
        <v>0</v>
      </c>
      <c r="M16" s="9" t="s">
        <v>65</v>
      </c>
      <c r="N16" s="9" t="s">
        <v>66</v>
      </c>
      <c r="O16" s="9" t="s">
        <v>27</v>
      </c>
      <c r="P16" s="10">
        <v>0.93</v>
      </c>
      <c r="Q16" s="11">
        <v>41.23</v>
      </c>
      <c r="R16" s="12">
        <f t="shared" si="2"/>
        <v>0</v>
      </c>
      <c r="S16" s="12">
        <f t="shared" si="3"/>
        <v>0</v>
      </c>
      <c r="T16" s="9" t="s">
        <v>555</v>
      </c>
    </row>
    <row r="17" spans="1:20" ht="12.75" customHeight="1" x14ac:dyDescent="0.2">
      <c r="A17" s="8">
        <v>50501002850007</v>
      </c>
      <c r="B17" s="9" t="s">
        <v>20</v>
      </c>
      <c r="C17" s="9" t="s">
        <v>21</v>
      </c>
      <c r="D17" s="9" t="s">
        <v>54</v>
      </c>
      <c r="E17" s="9" t="s">
        <v>31</v>
      </c>
      <c r="F17" s="9" t="s">
        <v>67</v>
      </c>
      <c r="G17" s="9">
        <v>29</v>
      </c>
      <c r="H17" s="9">
        <v>201</v>
      </c>
      <c r="I17" s="9">
        <v>174</v>
      </c>
      <c r="K17" s="9">
        <f t="shared" si="0"/>
        <v>0</v>
      </c>
      <c r="L17" s="9">
        <f t="shared" si="1"/>
        <v>0</v>
      </c>
      <c r="M17" s="9" t="s">
        <v>68</v>
      </c>
      <c r="N17" s="9" t="s">
        <v>69</v>
      </c>
      <c r="O17" s="9" t="s">
        <v>27</v>
      </c>
      <c r="P17" s="10">
        <v>1.04</v>
      </c>
      <c r="Q17" s="11">
        <v>45.88</v>
      </c>
      <c r="R17" s="12">
        <f t="shared" si="2"/>
        <v>0</v>
      </c>
      <c r="S17" s="12">
        <f t="shared" si="3"/>
        <v>0</v>
      </c>
      <c r="T17" s="9" t="s">
        <v>556</v>
      </c>
    </row>
    <row r="18" spans="1:20" ht="12.75" customHeight="1" x14ac:dyDescent="0.2">
      <c r="A18" s="8">
        <v>50501000030003</v>
      </c>
      <c r="B18" s="9" t="s">
        <v>20</v>
      </c>
      <c r="C18" s="9" t="s">
        <v>21</v>
      </c>
      <c r="D18" s="9" t="s">
        <v>70</v>
      </c>
      <c r="E18" s="9" t="s">
        <v>31</v>
      </c>
      <c r="F18" s="9" t="s">
        <v>24</v>
      </c>
      <c r="G18" s="9">
        <v>28</v>
      </c>
      <c r="H18" s="9">
        <v>81</v>
      </c>
      <c r="I18" s="9">
        <v>70</v>
      </c>
      <c r="K18" s="9">
        <f t="shared" si="0"/>
        <v>0</v>
      </c>
      <c r="L18" s="9">
        <f t="shared" si="1"/>
        <v>0</v>
      </c>
      <c r="M18" s="9" t="s">
        <v>71</v>
      </c>
      <c r="N18" s="9" t="s">
        <v>72</v>
      </c>
      <c r="O18" s="9" t="s">
        <v>27</v>
      </c>
      <c r="P18" s="10">
        <v>0.47899999999999998</v>
      </c>
      <c r="Q18" s="11">
        <v>20.65</v>
      </c>
      <c r="R18" s="12">
        <f t="shared" si="2"/>
        <v>0</v>
      </c>
      <c r="S18" s="12">
        <f t="shared" si="3"/>
        <v>0</v>
      </c>
      <c r="T18" s="9" t="s">
        <v>557</v>
      </c>
    </row>
    <row r="19" spans="1:20" ht="12.75" customHeight="1" x14ac:dyDescent="0.2">
      <c r="A19" s="8">
        <v>50501000030004</v>
      </c>
      <c r="B19" s="9" t="s">
        <v>20</v>
      </c>
      <c r="C19" s="9" t="s">
        <v>21</v>
      </c>
      <c r="D19" s="9" t="s">
        <v>70</v>
      </c>
      <c r="E19" s="9" t="s">
        <v>31</v>
      </c>
      <c r="F19" s="9" t="s">
        <v>28</v>
      </c>
      <c r="G19" s="9">
        <v>28</v>
      </c>
      <c r="H19" s="9">
        <v>81</v>
      </c>
      <c r="I19" s="9">
        <v>70</v>
      </c>
      <c r="K19" s="9">
        <f t="shared" si="0"/>
        <v>0</v>
      </c>
      <c r="L19" s="9">
        <f t="shared" si="1"/>
        <v>0</v>
      </c>
      <c r="M19" s="9" t="s">
        <v>73</v>
      </c>
      <c r="N19" s="9" t="s">
        <v>74</v>
      </c>
      <c r="O19" s="9" t="s">
        <v>27</v>
      </c>
      <c r="P19" s="10">
        <v>0.504</v>
      </c>
      <c r="Q19" s="11">
        <v>21.61</v>
      </c>
      <c r="R19" s="12">
        <f t="shared" si="2"/>
        <v>0</v>
      </c>
      <c r="S19" s="12">
        <f t="shared" si="3"/>
        <v>0</v>
      </c>
      <c r="T19" s="9" t="s">
        <v>558</v>
      </c>
    </row>
    <row r="20" spans="1:20" ht="12.75" customHeight="1" x14ac:dyDescent="0.2">
      <c r="A20" s="8">
        <v>50501000030001</v>
      </c>
      <c r="B20" s="9" t="s">
        <v>20</v>
      </c>
      <c r="C20" s="9" t="s">
        <v>21</v>
      </c>
      <c r="D20" s="9" t="s">
        <v>70</v>
      </c>
      <c r="E20" s="9" t="s">
        <v>31</v>
      </c>
      <c r="F20" s="9" t="s">
        <v>32</v>
      </c>
      <c r="G20" s="9">
        <v>28</v>
      </c>
      <c r="H20" s="9">
        <v>87</v>
      </c>
      <c r="I20" s="9">
        <v>75</v>
      </c>
      <c r="K20" s="9">
        <f t="shared" si="0"/>
        <v>0</v>
      </c>
      <c r="L20" s="9">
        <f t="shared" si="1"/>
        <v>0</v>
      </c>
      <c r="M20" s="9" t="s">
        <v>75</v>
      </c>
      <c r="N20" s="9" t="s">
        <v>76</v>
      </c>
      <c r="O20" s="9" t="s">
        <v>27</v>
      </c>
      <c r="P20" s="10">
        <v>0.56000000000000005</v>
      </c>
      <c r="Q20" s="11">
        <v>23.79</v>
      </c>
      <c r="R20" s="12">
        <f t="shared" si="2"/>
        <v>0</v>
      </c>
      <c r="S20" s="12">
        <f t="shared" si="3"/>
        <v>0</v>
      </c>
      <c r="T20" s="9" t="s">
        <v>559</v>
      </c>
    </row>
    <row r="21" spans="1:20" ht="12.75" customHeight="1" x14ac:dyDescent="0.2">
      <c r="A21" s="8">
        <v>50501000030005</v>
      </c>
      <c r="B21" s="9" t="s">
        <v>20</v>
      </c>
      <c r="C21" s="9" t="s">
        <v>21</v>
      </c>
      <c r="D21" s="9" t="s">
        <v>70</v>
      </c>
      <c r="E21" s="9" t="s">
        <v>31</v>
      </c>
      <c r="F21" s="9" t="s">
        <v>35</v>
      </c>
      <c r="G21" s="9">
        <v>28</v>
      </c>
      <c r="H21" s="9">
        <v>100</v>
      </c>
      <c r="I21" s="9">
        <v>86</v>
      </c>
      <c r="K21" s="9">
        <f t="shared" si="0"/>
        <v>0</v>
      </c>
      <c r="L21" s="9">
        <f t="shared" si="1"/>
        <v>0</v>
      </c>
      <c r="M21" s="9" t="s">
        <v>77</v>
      </c>
      <c r="N21" s="9" t="s">
        <v>78</v>
      </c>
      <c r="O21" s="9" t="s">
        <v>27</v>
      </c>
      <c r="P21" s="10">
        <v>0.67200000000000004</v>
      </c>
      <c r="Q21" s="11">
        <v>27.9</v>
      </c>
      <c r="R21" s="12">
        <f t="shared" si="2"/>
        <v>0</v>
      </c>
      <c r="S21" s="12">
        <f t="shared" si="3"/>
        <v>0</v>
      </c>
      <c r="T21" s="9" t="s">
        <v>560</v>
      </c>
    </row>
    <row r="22" spans="1:20" ht="12.75" customHeight="1" x14ac:dyDescent="0.2">
      <c r="A22" s="8">
        <v>50501000030006</v>
      </c>
      <c r="B22" s="9" t="s">
        <v>20</v>
      </c>
      <c r="C22" s="9" t="s">
        <v>21</v>
      </c>
      <c r="D22" s="9" t="s">
        <v>70</v>
      </c>
      <c r="E22" s="9" t="s">
        <v>31</v>
      </c>
      <c r="F22" s="9" t="s">
        <v>38</v>
      </c>
      <c r="G22" s="9">
        <v>28</v>
      </c>
      <c r="H22" s="9">
        <v>113</v>
      </c>
      <c r="I22" s="9">
        <v>98</v>
      </c>
      <c r="K22" s="9">
        <f t="shared" si="0"/>
        <v>0</v>
      </c>
      <c r="L22" s="9">
        <f t="shared" si="1"/>
        <v>0</v>
      </c>
      <c r="M22" s="9" t="s">
        <v>79</v>
      </c>
      <c r="N22" s="9" t="s">
        <v>80</v>
      </c>
      <c r="O22" s="9" t="s">
        <v>27</v>
      </c>
      <c r="P22" s="10">
        <v>0.745</v>
      </c>
      <c r="Q22" s="11">
        <v>30.25</v>
      </c>
      <c r="R22" s="12">
        <f t="shared" si="2"/>
        <v>0</v>
      </c>
      <c r="S22" s="12">
        <f t="shared" si="3"/>
        <v>0</v>
      </c>
      <c r="T22" s="9" t="s">
        <v>561</v>
      </c>
    </row>
    <row r="23" spans="1:20" ht="12.75" customHeight="1" x14ac:dyDescent="0.2">
      <c r="A23" s="8">
        <v>50501000030007</v>
      </c>
      <c r="B23" s="9" t="s">
        <v>20</v>
      </c>
      <c r="C23" s="9" t="s">
        <v>21</v>
      </c>
      <c r="D23" s="9" t="s">
        <v>70</v>
      </c>
      <c r="E23" s="9" t="s">
        <v>31</v>
      </c>
      <c r="F23" s="9" t="s">
        <v>41</v>
      </c>
      <c r="G23" s="9">
        <v>28</v>
      </c>
      <c r="H23" s="9">
        <v>113</v>
      </c>
      <c r="I23" s="9">
        <v>98</v>
      </c>
      <c r="K23" s="9">
        <f t="shared" si="0"/>
        <v>0</v>
      </c>
      <c r="L23" s="9">
        <f t="shared" si="1"/>
        <v>0</v>
      </c>
      <c r="M23" s="9" t="s">
        <v>81</v>
      </c>
      <c r="N23" s="9" t="s">
        <v>82</v>
      </c>
      <c r="O23" s="9" t="s">
        <v>27</v>
      </c>
      <c r="P23" s="10">
        <v>0.78400000000000003</v>
      </c>
      <c r="Q23" s="11">
        <v>32.51</v>
      </c>
      <c r="R23" s="12">
        <f t="shared" si="2"/>
        <v>0</v>
      </c>
      <c r="S23" s="12">
        <f t="shared" si="3"/>
        <v>0</v>
      </c>
      <c r="T23" s="9" t="s">
        <v>562</v>
      </c>
    </row>
    <row r="24" spans="1:20" ht="12.75" customHeight="1" x14ac:dyDescent="0.2">
      <c r="A24" s="8">
        <v>50501000030008</v>
      </c>
      <c r="B24" s="9" t="s">
        <v>20</v>
      </c>
      <c r="C24" s="9" t="s">
        <v>21</v>
      </c>
      <c r="D24" s="9" t="s">
        <v>70</v>
      </c>
      <c r="E24" s="9" t="s">
        <v>31</v>
      </c>
      <c r="F24" s="9" t="s">
        <v>44</v>
      </c>
      <c r="G24" s="9">
        <v>28</v>
      </c>
      <c r="H24" s="9">
        <v>120</v>
      </c>
      <c r="I24" s="9">
        <v>103</v>
      </c>
      <c r="K24" s="9">
        <f t="shared" si="0"/>
        <v>0</v>
      </c>
      <c r="L24" s="9">
        <f t="shared" si="1"/>
        <v>0</v>
      </c>
      <c r="M24" s="9" t="s">
        <v>83</v>
      </c>
      <c r="N24" s="9" t="s">
        <v>84</v>
      </c>
      <c r="O24" s="9" t="s">
        <v>27</v>
      </c>
      <c r="P24" s="10">
        <v>0.84</v>
      </c>
      <c r="Q24" s="11">
        <v>34.69</v>
      </c>
      <c r="R24" s="12">
        <f t="shared" si="2"/>
        <v>0</v>
      </c>
      <c r="S24" s="12">
        <f t="shared" si="3"/>
        <v>0</v>
      </c>
      <c r="T24" s="9" t="s">
        <v>563</v>
      </c>
    </row>
    <row r="25" spans="1:20" ht="12.75" customHeight="1" x14ac:dyDescent="0.2">
      <c r="A25" s="8">
        <v>50501000030009</v>
      </c>
      <c r="B25" s="9" t="s">
        <v>20</v>
      </c>
      <c r="C25" s="9" t="s">
        <v>21</v>
      </c>
      <c r="D25" s="9" t="s">
        <v>70</v>
      </c>
      <c r="E25" s="9" t="s">
        <v>31</v>
      </c>
      <c r="F25" s="9" t="s">
        <v>47</v>
      </c>
      <c r="G25" s="9">
        <v>28</v>
      </c>
      <c r="H25" s="9">
        <v>126</v>
      </c>
      <c r="I25" s="9">
        <v>108</v>
      </c>
      <c r="K25" s="9">
        <f t="shared" si="0"/>
        <v>0</v>
      </c>
      <c r="L25" s="9">
        <f t="shared" si="1"/>
        <v>0</v>
      </c>
      <c r="M25" s="9" t="s">
        <v>85</v>
      </c>
      <c r="N25" s="9" t="s">
        <v>86</v>
      </c>
      <c r="O25" s="9" t="s">
        <v>27</v>
      </c>
      <c r="P25" s="10">
        <v>0.89600000000000002</v>
      </c>
      <c r="Q25" s="11">
        <v>38.4</v>
      </c>
      <c r="R25" s="12">
        <f t="shared" si="2"/>
        <v>0</v>
      </c>
      <c r="S25" s="12">
        <f t="shared" si="3"/>
        <v>0</v>
      </c>
      <c r="T25" s="9" t="s">
        <v>564</v>
      </c>
    </row>
    <row r="26" spans="1:20" ht="12.75" customHeight="1" x14ac:dyDescent="0.2">
      <c r="A26" s="8">
        <v>50501000030002</v>
      </c>
      <c r="B26" s="9" t="s">
        <v>20</v>
      </c>
      <c r="C26" s="9" t="s">
        <v>21</v>
      </c>
      <c r="D26" s="9" t="s">
        <v>70</v>
      </c>
      <c r="E26" s="9" t="s">
        <v>31</v>
      </c>
      <c r="F26" s="9" t="s">
        <v>67</v>
      </c>
      <c r="G26" s="9">
        <v>28</v>
      </c>
      <c r="H26" s="9">
        <v>139</v>
      </c>
      <c r="I26" s="9">
        <v>120</v>
      </c>
      <c r="K26" s="9">
        <f t="shared" si="0"/>
        <v>0</v>
      </c>
      <c r="L26" s="9">
        <f t="shared" si="1"/>
        <v>0</v>
      </c>
      <c r="M26" s="9" t="s">
        <v>87</v>
      </c>
      <c r="N26" s="9" t="s">
        <v>88</v>
      </c>
      <c r="O26" s="9" t="s">
        <v>27</v>
      </c>
      <c r="P26" s="10">
        <v>1.008</v>
      </c>
      <c r="Q26" s="11">
        <v>40.200000000000003</v>
      </c>
      <c r="R26" s="12">
        <f t="shared" si="2"/>
        <v>0</v>
      </c>
      <c r="S26" s="12">
        <f t="shared" si="3"/>
        <v>0</v>
      </c>
      <c r="T26" s="9" t="s">
        <v>565</v>
      </c>
    </row>
    <row r="27" spans="1:20" ht="12.75" customHeight="1" x14ac:dyDescent="0.2">
      <c r="A27" s="8">
        <v>50501000030010</v>
      </c>
      <c r="B27" s="9" t="s">
        <v>20</v>
      </c>
      <c r="C27" s="9" t="s">
        <v>21</v>
      </c>
      <c r="D27" s="9" t="s">
        <v>70</v>
      </c>
      <c r="E27" s="9" t="s">
        <v>23</v>
      </c>
      <c r="F27" s="9" t="s">
        <v>89</v>
      </c>
      <c r="G27" s="9">
        <v>28</v>
      </c>
      <c r="H27" s="9">
        <v>152</v>
      </c>
      <c r="I27" s="9">
        <v>131</v>
      </c>
      <c r="K27" s="9">
        <f t="shared" si="0"/>
        <v>0</v>
      </c>
      <c r="L27" s="9">
        <f t="shared" si="1"/>
        <v>0</v>
      </c>
      <c r="M27" s="9" t="s">
        <v>90</v>
      </c>
      <c r="N27" s="9" t="s">
        <v>91</v>
      </c>
      <c r="O27" s="9" t="s">
        <v>27</v>
      </c>
      <c r="P27" s="10">
        <v>1.1200000000000001</v>
      </c>
      <c r="Q27" s="11">
        <v>45.59</v>
      </c>
      <c r="R27" s="12">
        <f t="shared" si="2"/>
        <v>0</v>
      </c>
      <c r="S27" s="12">
        <f t="shared" si="3"/>
        <v>0</v>
      </c>
      <c r="T27" s="9" t="s">
        <v>566</v>
      </c>
    </row>
    <row r="28" spans="1:20" ht="12.75" customHeight="1" x14ac:dyDescent="0.2">
      <c r="A28" s="8">
        <v>50501000020001</v>
      </c>
      <c r="B28" s="9" t="s">
        <v>20</v>
      </c>
      <c r="C28" s="9" t="s">
        <v>21</v>
      </c>
      <c r="D28" s="9" t="s">
        <v>92</v>
      </c>
      <c r="E28" s="9" t="s">
        <v>23</v>
      </c>
      <c r="F28" s="9" t="s">
        <v>93</v>
      </c>
      <c r="G28" s="9">
        <v>26</v>
      </c>
      <c r="H28" s="9">
        <v>101</v>
      </c>
      <c r="I28" s="9">
        <v>87</v>
      </c>
      <c r="K28" s="9">
        <f t="shared" ref="K28:K37" si="4">H28*J28</f>
        <v>0</v>
      </c>
      <c r="L28" s="9">
        <f t="shared" ref="L28:L37" si="5">J28*I28</f>
        <v>0</v>
      </c>
      <c r="M28" s="9" t="s">
        <v>94</v>
      </c>
      <c r="N28" s="9" t="s">
        <v>95</v>
      </c>
      <c r="O28" s="9" t="s">
        <v>27</v>
      </c>
      <c r="P28" s="10">
        <v>0.113</v>
      </c>
      <c r="Q28" s="11">
        <v>18.456</v>
      </c>
      <c r="R28" s="12">
        <f t="shared" ref="R28:R37" si="6">P28*J28</f>
        <v>0</v>
      </c>
      <c r="S28" s="12">
        <f t="shared" ref="S28:S37" si="7">Q28*J28</f>
        <v>0</v>
      </c>
      <c r="T28" s="9" t="s">
        <v>567</v>
      </c>
    </row>
    <row r="29" spans="1:20" ht="12.75" customHeight="1" x14ac:dyDescent="0.2">
      <c r="A29" s="8">
        <v>50501000020003</v>
      </c>
      <c r="B29" s="9" t="s">
        <v>20</v>
      </c>
      <c r="C29" s="9" t="s">
        <v>21</v>
      </c>
      <c r="D29" s="9" t="s">
        <v>92</v>
      </c>
      <c r="E29" s="9" t="s">
        <v>23</v>
      </c>
      <c r="F29" s="9" t="s">
        <v>28</v>
      </c>
      <c r="G29" s="9">
        <v>26</v>
      </c>
      <c r="H29" s="9">
        <v>101</v>
      </c>
      <c r="I29" s="9">
        <v>87</v>
      </c>
      <c r="K29" s="9">
        <f t="shared" si="4"/>
        <v>0</v>
      </c>
      <c r="L29" s="9">
        <f t="shared" si="5"/>
        <v>0</v>
      </c>
      <c r="M29" s="9" t="s">
        <v>96</v>
      </c>
      <c r="N29" s="9" t="s">
        <v>97</v>
      </c>
      <c r="O29" s="9" t="s">
        <v>27</v>
      </c>
      <c r="P29" s="10">
        <v>0.125</v>
      </c>
      <c r="Q29" s="11">
        <v>20.936</v>
      </c>
      <c r="R29" s="12">
        <f t="shared" si="6"/>
        <v>0</v>
      </c>
      <c r="S29" s="12">
        <f t="shared" si="7"/>
        <v>0</v>
      </c>
      <c r="T29" s="9" t="s">
        <v>568</v>
      </c>
    </row>
    <row r="30" spans="1:20" ht="12.75" customHeight="1" x14ac:dyDescent="0.2">
      <c r="A30" s="8">
        <v>50501003160002</v>
      </c>
      <c r="B30" s="9" t="s">
        <v>20</v>
      </c>
      <c r="C30" s="9" t="s">
        <v>21</v>
      </c>
      <c r="D30" s="9" t="s">
        <v>92</v>
      </c>
      <c r="E30" s="9" t="s">
        <v>23</v>
      </c>
      <c r="F30" s="9" t="s">
        <v>32</v>
      </c>
      <c r="G30" s="9">
        <v>26</v>
      </c>
      <c r="H30" s="9">
        <v>107</v>
      </c>
      <c r="I30" s="9">
        <v>93</v>
      </c>
      <c r="K30" s="9">
        <f t="shared" si="4"/>
        <v>0</v>
      </c>
      <c r="L30" s="9">
        <f t="shared" si="5"/>
        <v>0</v>
      </c>
      <c r="M30" s="9" t="s">
        <v>98</v>
      </c>
      <c r="N30" s="9" t="s">
        <v>99</v>
      </c>
      <c r="O30" s="9" t="s">
        <v>27</v>
      </c>
      <c r="P30" s="10">
        <v>0.13700000000000001</v>
      </c>
      <c r="Q30" s="11">
        <v>23.79</v>
      </c>
      <c r="R30" s="12">
        <f t="shared" si="6"/>
        <v>0</v>
      </c>
      <c r="S30" s="12">
        <f t="shared" si="7"/>
        <v>0</v>
      </c>
      <c r="T30" s="9" t="s">
        <v>569</v>
      </c>
    </row>
    <row r="31" spans="1:20" ht="12.75" customHeight="1" x14ac:dyDescent="0.2">
      <c r="A31" s="8">
        <v>50501003160003</v>
      </c>
      <c r="B31" s="9" t="s">
        <v>20</v>
      </c>
      <c r="C31" s="9" t="s">
        <v>21</v>
      </c>
      <c r="D31" s="9" t="s">
        <v>92</v>
      </c>
      <c r="E31" s="9" t="s">
        <v>23</v>
      </c>
      <c r="F31" s="9" t="s">
        <v>35</v>
      </c>
      <c r="G31" s="9">
        <v>26</v>
      </c>
      <c r="H31" s="9">
        <v>125</v>
      </c>
      <c r="I31" s="9">
        <v>108</v>
      </c>
      <c r="K31" s="9">
        <f t="shared" si="4"/>
        <v>0</v>
      </c>
      <c r="L31" s="9">
        <f t="shared" si="5"/>
        <v>0</v>
      </c>
      <c r="M31" s="9" t="s">
        <v>100</v>
      </c>
      <c r="N31" s="9" t="s">
        <v>101</v>
      </c>
      <c r="O31" s="9" t="s">
        <v>27</v>
      </c>
      <c r="P31" s="10">
        <v>0.16200000000000001</v>
      </c>
      <c r="Q31" s="11">
        <v>27.9</v>
      </c>
      <c r="R31" s="12">
        <f t="shared" si="6"/>
        <v>0</v>
      </c>
      <c r="S31" s="12">
        <f t="shared" si="7"/>
        <v>0</v>
      </c>
      <c r="T31" s="9" t="s">
        <v>570</v>
      </c>
    </row>
    <row r="32" spans="1:20" ht="12.75" customHeight="1" x14ac:dyDescent="0.2">
      <c r="A32" s="8">
        <v>50501003160007</v>
      </c>
      <c r="B32" s="9" t="s">
        <v>20</v>
      </c>
      <c r="C32" s="9" t="s">
        <v>21</v>
      </c>
      <c r="D32" s="9" t="s">
        <v>92</v>
      </c>
      <c r="E32" s="9" t="s">
        <v>23</v>
      </c>
      <c r="F32" s="9" t="s">
        <v>38</v>
      </c>
      <c r="G32" s="9">
        <v>26</v>
      </c>
      <c r="H32" s="9">
        <v>135</v>
      </c>
      <c r="I32" s="9">
        <v>116</v>
      </c>
      <c r="K32" s="9">
        <f t="shared" si="4"/>
        <v>0</v>
      </c>
      <c r="L32" s="9">
        <f t="shared" si="5"/>
        <v>0</v>
      </c>
      <c r="M32" s="9" t="s">
        <v>102</v>
      </c>
      <c r="N32" s="9" t="s">
        <v>103</v>
      </c>
      <c r="O32" s="9" t="s">
        <v>27</v>
      </c>
      <c r="P32" s="10">
        <v>0.186</v>
      </c>
      <c r="Q32" s="11">
        <v>30.25</v>
      </c>
      <c r="R32" s="12">
        <f t="shared" si="6"/>
        <v>0</v>
      </c>
      <c r="S32" s="12">
        <f t="shared" si="7"/>
        <v>0</v>
      </c>
      <c r="T32" s="9" t="s">
        <v>571</v>
      </c>
    </row>
    <row r="33" spans="1:20" ht="12.75" customHeight="1" x14ac:dyDescent="0.2">
      <c r="A33" s="8">
        <v>50501000020006</v>
      </c>
      <c r="B33" s="9" t="s">
        <v>20</v>
      </c>
      <c r="C33" s="9" t="s">
        <v>21</v>
      </c>
      <c r="D33" s="9" t="s">
        <v>92</v>
      </c>
      <c r="E33" s="9" t="s">
        <v>23</v>
      </c>
      <c r="F33" s="9" t="s">
        <v>41</v>
      </c>
      <c r="G33" s="9">
        <v>26</v>
      </c>
      <c r="H33" s="9">
        <v>142</v>
      </c>
      <c r="I33" s="9">
        <v>122</v>
      </c>
      <c r="K33" s="9">
        <f t="shared" si="4"/>
        <v>0</v>
      </c>
      <c r="L33" s="9">
        <f t="shared" si="5"/>
        <v>0</v>
      </c>
      <c r="M33" s="9" t="s">
        <v>104</v>
      </c>
      <c r="N33" s="9" t="s">
        <v>105</v>
      </c>
      <c r="O33" s="9" t="s">
        <v>27</v>
      </c>
      <c r="P33" s="10">
        <v>0.187</v>
      </c>
      <c r="Q33" s="11">
        <v>31.638000000000002</v>
      </c>
      <c r="R33" s="12">
        <f t="shared" si="6"/>
        <v>0</v>
      </c>
      <c r="S33" s="12">
        <f t="shared" si="7"/>
        <v>0</v>
      </c>
      <c r="T33" s="9" t="s">
        <v>572</v>
      </c>
    </row>
    <row r="34" spans="1:20" ht="12.75" customHeight="1" x14ac:dyDescent="0.2">
      <c r="A34" s="8">
        <v>50501003160005</v>
      </c>
      <c r="B34" s="9" t="s">
        <v>20</v>
      </c>
      <c r="C34" s="9" t="s">
        <v>21</v>
      </c>
      <c r="D34" s="9" t="s">
        <v>92</v>
      </c>
      <c r="E34" s="9" t="s">
        <v>23</v>
      </c>
      <c r="F34" s="9" t="s">
        <v>47</v>
      </c>
      <c r="G34" s="9">
        <v>26</v>
      </c>
      <c r="H34" s="9">
        <v>155</v>
      </c>
      <c r="I34" s="9">
        <v>133</v>
      </c>
      <c r="K34" s="9">
        <f t="shared" si="4"/>
        <v>0</v>
      </c>
      <c r="L34" s="9">
        <f t="shared" si="5"/>
        <v>0</v>
      </c>
      <c r="M34" s="9" t="s">
        <v>106</v>
      </c>
      <c r="N34" s="9" t="s">
        <v>107</v>
      </c>
      <c r="O34" s="9" t="s">
        <v>27</v>
      </c>
      <c r="P34" s="10">
        <v>0.21099999999999999</v>
      </c>
      <c r="Q34" s="11">
        <v>38.4</v>
      </c>
      <c r="R34" s="12">
        <f t="shared" si="6"/>
        <v>0</v>
      </c>
      <c r="S34" s="12">
        <f t="shared" si="7"/>
        <v>0</v>
      </c>
      <c r="T34" s="9" t="s">
        <v>573</v>
      </c>
    </row>
    <row r="35" spans="1:20" ht="12.75" customHeight="1" x14ac:dyDescent="0.2">
      <c r="A35" s="8">
        <v>50501003160006</v>
      </c>
      <c r="B35" s="9" t="s">
        <v>20</v>
      </c>
      <c r="C35" s="9" t="s">
        <v>21</v>
      </c>
      <c r="D35" s="9" t="s">
        <v>92</v>
      </c>
      <c r="E35" s="9" t="s">
        <v>23</v>
      </c>
      <c r="F35" s="9" t="s">
        <v>67</v>
      </c>
      <c r="G35" s="9">
        <v>26</v>
      </c>
      <c r="H35" s="9">
        <v>169</v>
      </c>
      <c r="I35" s="9">
        <v>145</v>
      </c>
      <c r="K35" s="9">
        <f t="shared" si="4"/>
        <v>0</v>
      </c>
      <c r="L35" s="9">
        <f t="shared" si="5"/>
        <v>0</v>
      </c>
      <c r="M35" s="9" t="s">
        <v>108</v>
      </c>
      <c r="N35" s="9" t="s">
        <v>109</v>
      </c>
      <c r="O35" s="9" t="s">
        <v>27</v>
      </c>
      <c r="P35" s="10">
        <v>0.23499999999999999</v>
      </c>
      <c r="Q35" s="11">
        <v>40.200000000000003</v>
      </c>
      <c r="R35" s="12">
        <f t="shared" si="6"/>
        <v>0</v>
      </c>
      <c r="S35" s="12">
        <f t="shared" si="7"/>
        <v>0</v>
      </c>
      <c r="T35" s="9" t="s">
        <v>574</v>
      </c>
    </row>
    <row r="36" spans="1:20" ht="12.75" customHeight="1" x14ac:dyDescent="0.2">
      <c r="A36" s="8">
        <v>50501000020009</v>
      </c>
      <c r="B36" s="9" t="s">
        <v>20</v>
      </c>
      <c r="C36" s="9" t="s">
        <v>21</v>
      </c>
      <c r="D36" s="9" t="s">
        <v>92</v>
      </c>
      <c r="E36" s="9" t="s">
        <v>23</v>
      </c>
      <c r="F36" s="9" t="s">
        <v>89</v>
      </c>
      <c r="G36" s="9">
        <v>26</v>
      </c>
      <c r="H36" s="9">
        <v>182</v>
      </c>
      <c r="I36" s="9">
        <v>157</v>
      </c>
      <c r="K36" s="9">
        <f t="shared" si="4"/>
        <v>0</v>
      </c>
      <c r="L36" s="9">
        <f t="shared" si="5"/>
        <v>0</v>
      </c>
      <c r="M36" s="9" t="s">
        <v>110</v>
      </c>
      <c r="N36" s="9" t="s">
        <v>111</v>
      </c>
      <c r="O36" s="9" t="s">
        <v>27</v>
      </c>
      <c r="P36" s="10">
        <v>0.26</v>
      </c>
      <c r="Q36" s="11">
        <v>46.515000000000001</v>
      </c>
      <c r="R36" s="12">
        <f t="shared" si="6"/>
        <v>0</v>
      </c>
      <c r="S36" s="12">
        <f t="shared" si="7"/>
        <v>0</v>
      </c>
      <c r="T36" s="9" t="s">
        <v>575</v>
      </c>
    </row>
    <row r="37" spans="1:20" ht="12.75" customHeight="1" x14ac:dyDescent="0.2">
      <c r="A37" s="8">
        <v>50501001810001</v>
      </c>
      <c r="B37" s="9" t="s">
        <v>20</v>
      </c>
      <c r="C37" s="9" t="s">
        <v>21</v>
      </c>
      <c r="D37" s="9" t="s">
        <v>112</v>
      </c>
      <c r="E37" s="9" t="s">
        <v>31</v>
      </c>
      <c r="F37" s="9" t="s">
        <v>24</v>
      </c>
      <c r="G37" s="9">
        <v>32</v>
      </c>
      <c r="H37" s="9">
        <v>193</v>
      </c>
      <c r="I37" s="9">
        <v>166</v>
      </c>
      <c r="K37" s="9">
        <f t="shared" si="4"/>
        <v>0</v>
      </c>
      <c r="L37" s="9">
        <f t="shared" si="5"/>
        <v>0</v>
      </c>
      <c r="M37" s="9" t="s">
        <v>113</v>
      </c>
      <c r="N37" s="9" t="s">
        <v>114</v>
      </c>
      <c r="O37" s="9" t="s">
        <v>27</v>
      </c>
      <c r="P37" s="10">
        <v>0.54700000000000004</v>
      </c>
      <c r="Q37" s="11">
        <v>22.007000000000001</v>
      </c>
      <c r="R37" s="12">
        <f t="shared" si="6"/>
        <v>0</v>
      </c>
      <c r="S37" s="12">
        <f t="shared" si="7"/>
        <v>0</v>
      </c>
      <c r="T37" s="9" t="s">
        <v>576</v>
      </c>
    </row>
    <row r="38" spans="1:20" ht="12.75" customHeight="1" x14ac:dyDescent="0.2">
      <c r="A38" s="8">
        <v>50501001810003</v>
      </c>
      <c r="B38" s="9" t="s">
        <v>20</v>
      </c>
      <c r="C38" s="9" t="s">
        <v>21</v>
      </c>
      <c r="D38" s="9" t="s">
        <v>112</v>
      </c>
      <c r="E38" s="9" t="s">
        <v>31</v>
      </c>
      <c r="F38" s="9" t="s">
        <v>32</v>
      </c>
      <c r="G38" s="9">
        <v>32</v>
      </c>
      <c r="H38" s="9">
        <v>211</v>
      </c>
      <c r="I38" s="9">
        <v>181</v>
      </c>
      <c r="K38" s="9">
        <f t="shared" ref="K38:K69" si="8">H38*J38</f>
        <v>0</v>
      </c>
      <c r="L38" s="9">
        <f t="shared" ref="L38:L69" si="9">J38*I38</f>
        <v>0</v>
      </c>
      <c r="M38" s="9" t="s">
        <v>115</v>
      </c>
      <c r="N38" s="9" t="s">
        <v>116</v>
      </c>
      <c r="O38" s="9" t="s">
        <v>27</v>
      </c>
      <c r="P38" s="10">
        <v>0.64</v>
      </c>
      <c r="Q38" s="11">
        <v>26.059000000000001</v>
      </c>
      <c r="R38" s="12">
        <f t="shared" ref="R38:R69" si="10">P38*J38</f>
        <v>0</v>
      </c>
      <c r="S38" s="12">
        <f t="shared" ref="S38:S69" si="11">Q38*J38</f>
        <v>0</v>
      </c>
      <c r="T38" s="9" t="s">
        <v>577</v>
      </c>
    </row>
    <row r="39" spans="1:20" ht="12.75" customHeight="1" x14ac:dyDescent="0.2">
      <c r="A39" s="8">
        <v>50501001810004</v>
      </c>
      <c r="B39" s="9" t="s">
        <v>20</v>
      </c>
      <c r="C39" s="9" t="s">
        <v>21</v>
      </c>
      <c r="D39" s="9" t="s">
        <v>112</v>
      </c>
      <c r="E39" s="9" t="s">
        <v>31</v>
      </c>
      <c r="F39" s="9" t="s">
        <v>35</v>
      </c>
      <c r="G39" s="9">
        <v>32</v>
      </c>
      <c r="H39" s="9">
        <v>243</v>
      </c>
      <c r="I39" s="9">
        <v>210</v>
      </c>
      <c r="K39" s="9">
        <f t="shared" si="8"/>
        <v>0</v>
      </c>
      <c r="L39" s="9">
        <f t="shared" si="9"/>
        <v>0</v>
      </c>
      <c r="M39" s="9" t="s">
        <v>117</v>
      </c>
      <c r="N39" s="9" t="s">
        <v>118</v>
      </c>
      <c r="O39" s="9" t="s">
        <v>27</v>
      </c>
      <c r="P39" s="10">
        <v>0.76800000000000002</v>
      </c>
      <c r="Q39" s="11">
        <v>30.619</v>
      </c>
      <c r="R39" s="12">
        <f t="shared" si="10"/>
        <v>0</v>
      </c>
      <c r="S39" s="12">
        <f t="shared" si="11"/>
        <v>0</v>
      </c>
      <c r="T39" s="9" t="s">
        <v>578</v>
      </c>
    </row>
    <row r="40" spans="1:20" ht="12.75" customHeight="1" x14ac:dyDescent="0.2">
      <c r="A40" s="8">
        <v>50501001810005</v>
      </c>
      <c r="B40" s="9" t="s">
        <v>20</v>
      </c>
      <c r="C40" s="9" t="s">
        <v>21</v>
      </c>
      <c r="D40" s="9" t="s">
        <v>112</v>
      </c>
      <c r="E40" s="9" t="s">
        <v>31</v>
      </c>
      <c r="F40" s="9" t="s">
        <v>38</v>
      </c>
      <c r="G40" s="9">
        <v>32</v>
      </c>
      <c r="H40" s="9">
        <v>278</v>
      </c>
      <c r="I40" s="9">
        <v>240</v>
      </c>
      <c r="K40" s="9">
        <f t="shared" si="8"/>
        <v>0</v>
      </c>
      <c r="L40" s="9">
        <f t="shared" si="9"/>
        <v>0</v>
      </c>
      <c r="M40" s="9" t="s">
        <v>119</v>
      </c>
      <c r="N40" s="9" t="s">
        <v>120</v>
      </c>
      <c r="O40" s="9" t="s">
        <v>27</v>
      </c>
      <c r="P40" s="10">
        <v>0.85099999999999998</v>
      </c>
      <c r="Q40" s="11">
        <v>35.061</v>
      </c>
      <c r="R40" s="12">
        <f t="shared" si="10"/>
        <v>0</v>
      </c>
      <c r="S40" s="12">
        <f t="shared" si="11"/>
        <v>0</v>
      </c>
      <c r="T40" s="9" t="s">
        <v>579</v>
      </c>
    </row>
    <row r="41" spans="1:20" ht="12.75" customHeight="1" x14ac:dyDescent="0.2">
      <c r="A41" s="8">
        <v>50501001810010</v>
      </c>
      <c r="B41" s="9" t="s">
        <v>20</v>
      </c>
      <c r="C41" s="9" t="s">
        <v>21</v>
      </c>
      <c r="D41" s="9" t="s">
        <v>112</v>
      </c>
      <c r="E41" s="9" t="s">
        <v>23</v>
      </c>
      <c r="F41" s="9" t="s">
        <v>41</v>
      </c>
      <c r="G41" s="9">
        <v>32</v>
      </c>
      <c r="H41" s="9">
        <v>279</v>
      </c>
      <c r="I41" s="9">
        <v>240</v>
      </c>
      <c r="K41" s="9">
        <f t="shared" si="8"/>
        <v>0</v>
      </c>
      <c r="L41" s="9">
        <f t="shared" si="9"/>
        <v>0</v>
      </c>
      <c r="M41" s="9" t="s">
        <v>121</v>
      </c>
      <c r="N41" s="9" t="s">
        <v>122</v>
      </c>
      <c r="O41" s="9" t="s">
        <v>27</v>
      </c>
      <c r="P41" s="10">
        <v>0.89600000000000002</v>
      </c>
      <c r="Q41" s="11">
        <v>1E-3</v>
      </c>
      <c r="R41" s="12">
        <f t="shared" si="10"/>
        <v>0</v>
      </c>
      <c r="S41" s="12">
        <f t="shared" si="11"/>
        <v>0</v>
      </c>
      <c r="T41" s="9" t="s">
        <v>580</v>
      </c>
    </row>
    <row r="42" spans="1:20" ht="12.75" customHeight="1" x14ac:dyDescent="0.2">
      <c r="A42" s="8">
        <v>50501001810006</v>
      </c>
      <c r="B42" s="9" t="s">
        <v>20</v>
      </c>
      <c r="C42" s="9" t="s">
        <v>21</v>
      </c>
      <c r="D42" s="9" t="s">
        <v>112</v>
      </c>
      <c r="E42" s="9" t="s">
        <v>31</v>
      </c>
      <c r="F42" s="9" t="s">
        <v>44</v>
      </c>
      <c r="G42" s="9">
        <v>32</v>
      </c>
      <c r="H42" s="9">
        <v>294</v>
      </c>
      <c r="I42" s="9">
        <v>253</v>
      </c>
      <c r="K42" s="9">
        <f t="shared" si="8"/>
        <v>0</v>
      </c>
      <c r="L42" s="9">
        <f t="shared" si="9"/>
        <v>0</v>
      </c>
      <c r="M42" s="9" t="s">
        <v>123</v>
      </c>
      <c r="N42" s="9" t="s">
        <v>124</v>
      </c>
      <c r="O42" s="9" t="s">
        <v>27</v>
      </c>
      <c r="P42" s="10">
        <v>0.96</v>
      </c>
      <c r="Q42" s="11">
        <v>38.814</v>
      </c>
      <c r="R42" s="12">
        <f t="shared" si="10"/>
        <v>0</v>
      </c>
      <c r="S42" s="12">
        <f t="shared" si="11"/>
        <v>0</v>
      </c>
      <c r="T42" s="9" t="s">
        <v>581</v>
      </c>
    </row>
    <row r="43" spans="1:20" ht="12.75" customHeight="1" x14ac:dyDescent="0.2">
      <c r="A43" s="8">
        <v>50501001810007</v>
      </c>
      <c r="B43" s="9" t="s">
        <v>20</v>
      </c>
      <c r="C43" s="9" t="s">
        <v>21</v>
      </c>
      <c r="D43" s="9" t="s">
        <v>112</v>
      </c>
      <c r="E43" s="9" t="s">
        <v>31</v>
      </c>
      <c r="F43" s="9" t="s">
        <v>47</v>
      </c>
      <c r="G43" s="9">
        <v>32</v>
      </c>
      <c r="H43" s="9">
        <v>309</v>
      </c>
      <c r="I43" s="9">
        <v>266</v>
      </c>
      <c r="K43" s="9">
        <f t="shared" si="8"/>
        <v>0</v>
      </c>
      <c r="L43" s="9">
        <f t="shared" si="9"/>
        <v>0</v>
      </c>
      <c r="M43" s="9" t="s">
        <v>125</v>
      </c>
      <c r="N43" s="9" t="s">
        <v>126</v>
      </c>
      <c r="O43" s="9" t="s">
        <v>27</v>
      </c>
      <c r="P43" s="10">
        <v>1.024</v>
      </c>
      <c r="Q43" s="11">
        <v>41.765999999999998</v>
      </c>
      <c r="R43" s="12">
        <f t="shared" si="10"/>
        <v>0</v>
      </c>
      <c r="S43" s="12">
        <f t="shared" si="11"/>
        <v>0</v>
      </c>
      <c r="T43" s="9" t="s">
        <v>582</v>
      </c>
    </row>
    <row r="44" spans="1:20" ht="12.75" customHeight="1" x14ac:dyDescent="0.2">
      <c r="A44" s="8">
        <v>50501001810008</v>
      </c>
      <c r="B44" s="9" t="s">
        <v>20</v>
      </c>
      <c r="C44" s="9" t="s">
        <v>21</v>
      </c>
      <c r="D44" s="9" t="s">
        <v>112</v>
      </c>
      <c r="E44" s="9" t="s">
        <v>31</v>
      </c>
      <c r="F44" s="9" t="s">
        <v>67</v>
      </c>
      <c r="G44" s="9">
        <v>32</v>
      </c>
      <c r="H44" s="9">
        <v>343</v>
      </c>
      <c r="I44" s="9">
        <v>296</v>
      </c>
      <c r="K44" s="9">
        <f t="shared" si="8"/>
        <v>0</v>
      </c>
      <c r="L44" s="9">
        <f t="shared" si="9"/>
        <v>0</v>
      </c>
      <c r="M44" s="9" t="s">
        <v>127</v>
      </c>
      <c r="N44" s="9" t="s">
        <v>128</v>
      </c>
      <c r="O44" s="9" t="s">
        <v>27</v>
      </c>
      <c r="P44" s="10">
        <v>1.1519999999999999</v>
      </c>
      <c r="Q44" s="11">
        <v>46.667999999999999</v>
      </c>
      <c r="R44" s="12">
        <f t="shared" si="10"/>
        <v>0</v>
      </c>
      <c r="S44" s="12">
        <f t="shared" si="11"/>
        <v>0</v>
      </c>
      <c r="T44" s="9" t="s">
        <v>583</v>
      </c>
    </row>
    <row r="45" spans="1:20" ht="12.75" customHeight="1" x14ac:dyDescent="0.2">
      <c r="A45" s="8">
        <v>50501001810009</v>
      </c>
      <c r="B45" s="9" t="s">
        <v>20</v>
      </c>
      <c r="C45" s="9" t="s">
        <v>21</v>
      </c>
      <c r="D45" s="9" t="s">
        <v>112</v>
      </c>
      <c r="E45" s="9" t="s">
        <v>31</v>
      </c>
      <c r="F45" s="9" t="s">
        <v>89</v>
      </c>
      <c r="G45" s="9">
        <v>32</v>
      </c>
      <c r="H45" s="9">
        <v>378</v>
      </c>
      <c r="I45" s="9">
        <v>326</v>
      </c>
      <c r="K45" s="9">
        <f t="shared" si="8"/>
        <v>0</v>
      </c>
      <c r="L45" s="9">
        <f t="shared" si="9"/>
        <v>0</v>
      </c>
      <c r="M45" s="9" t="s">
        <v>129</v>
      </c>
      <c r="N45" s="9" t="s">
        <v>130</v>
      </c>
      <c r="O45" s="9" t="s">
        <v>27</v>
      </c>
      <c r="P45" s="10">
        <v>1.28</v>
      </c>
      <c r="Q45" s="11">
        <v>51.951999999999998</v>
      </c>
      <c r="R45" s="12">
        <f t="shared" si="10"/>
        <v>0</v>
      </c>
      <c r="S45" s="12">
        <f t="shared" si="11"/>
        <v>0</v>
      </c>
      <c r="T45" s="9" t="s">
        <v>584</v>
      </c>
    </row>
    <row r="46" spans="1:20" ht="12.75" customHeight="1" x14ac:dyDescent="0.2">
      <c r="A46" s="8">
        <v>50501000050003</v>
      </c>
      <c r="B46" s="9" t="s">
        <v>20</v>
      </c>
      <c r="C46" s="9" t="s">
        <v>21</v>
      </c>
      <c r="D46" s="9" t="s">
        <v>131</v>
      </c>
      <c r="E46" s="9" t="s">
        <v>31</v>
      </c>
      <c r="F46" s="9" t="s">
        <v>24</v>
      </c>
      <c r="G46" s="9">
        <v>25</v>
      </c>
      <c r="H46" s="9">
        <v>70</v>
      </c>
      <c r="I46" s="9">
        <v>61</v>
      </c>
      <c r="K46" s="9">
        <f t="shared" si="8"/>
        <v>0</v>
      </c>
      <c r="L46" s="9">
        <f t="shared" si="9"/>
        <v>0</v>
      </c>
      <c r="M46" s="9" t="s">
        <v>132</v>
      </c>
      <c r="N46" s="9" t="s">
        <v>133</v>
      </c>
      <c r="O46" s="9" t="s">
        <v>27</v>
      </c>
      <c r="P46" s="10">
        <v>0.42799999999999999</v>
      </c>
      <c r="Q46" s="11">
        <v>18.25</v>
      </c>
      <c r="R46" s="12">
        <f t="shared" si="10"/>
        <v>0</v>
      </c>
      <c r="S46" s="12">
        <f t="shared" si="11"/>
        <v>0</v>
      </c>
      <c r="T46" s="9" t="s">
        <v>585</v>
      </c>
    </row>
    <row r="47" spans="1:20" ht="12.75" customHeight="1" x14ac:dyDescent="0.2">
      <c r="A47" s="8">
        <v>50501000050004</v>
      </c>
      <c r="B47" s="9" t="s">
        <v>20</v>
      </c>
      <c r="C47" s="9" t="s">
        <v>21</v>
      </c>
      <c r="D47" s="9" t="s">
        <v>131</v>
      </c>
      <c r="E47" s="9" t="s">
        <v>31</v>
      </c>
      <c r="F47" s="9" t="s">
        <v>28</v>
      </c>
      <c r="G47" s="9">
        <v>25</v>
      </c>
      <c r="H47" s="9">
        <v>71</v>
      </c>
      <c r="I47" s="9">
        <v>61</v>
      </c>
      <c r="K47" s="9">
        <f t="shared" si="8"/>
        <v>0</v>
      </c>
      <c r="L47" s="9">
        <f t="shared" si="9"/>
        <v>0</v>
      </c>
      <c r="M47" s="9" t="s">
        <v>134</v>
      </c>
      <c r="N47" s="9" t="s">
        <v>135</v>
      </c>
      <c r="O47" s="9" t="s">
        <v>27</v>
      </c>
      <c r="P47" s="10">
        <v>0.45</v>
      </c>
      <c r="Q47" s="11">
        <v>19.32</v>
      </c>
      <c r="R47" s="12">
        <f t="shared" si="10"/>
        <v>0</v>
      </c>
      <c r="S47" s="12">
        <f t="shared" si="11"/>
        <v>0</v>
      </c>
      <c r="T47" s="9" t="s">
        <v>586</v>
      </c>
    </row>
    <row r="48" spans="1:20" ht="12.75" customHeight="1" x14ac:dyDescent="0.2">
      <c r="A48" s="8">
        <v>50501000050005</v>
      </c>
      <c r="B48" s="9" t="s">
        <v>20</v>
      </c>
      <c r="C48" s="9" t="s">
        <v>21</v>
      </c>
      <c r="D48" s="9" t="s">
        <v>131</v>
      </c>
      <c r="E48" s="9" t="s">
        <v>31</v>
      </c>
      <c r="F48" s="9" t="s">
        <v>32</v>
      </c>
      <c r="G48" s="9">
        <v>25</v>
      </c>
      <c r="H48" s="9">
        <v>76</v>
      </c>
      <c r="I48" s="9">
        <v>66</v>
      </c>
      <c r="K48" s="9">
        <f t="shared" si="8"/>
        <v>0</v>
      </c>
      <c r="L48" s="9">
        <f t="shared" si="9"/>
        <v>0</v>
      </c>
      <c r="M48" s="9" t="s">
        <v>136</v>
      </c>
      <c r="N48" s="9" t="s">
        <v>137</v>
      </c>
      <c r="O48" s="9" t="s">
        <v>27</v>
      </c>
      <c r="P48" s="10">
        <v>0.5</v>
      </c>
      <c r="Q48" s="11">
        <v>21.5</v>
      </c>
      <c r="R48" s="12">
        <f t="shared" si="10"/>
        <v>0</v>
      </c>
      <c r="S48" s="12">
        <f t="shared" si="11"/>
        <v>0</v>
      </c>
      <c r="T48" s="9" t="s">
        <v>587</v>
      </c>
    </row>
    <row r="49" spans="1:20" ht="12.75" customHeight="1" x14ac:dyDescent="0.2">
      <c r="A49" s="8">
        <v>50501000050006</v>
      </c>
      <c r="B49" s="9" t="s">
        <v>20</v>
      </c>
      <c r="C49" s="9" t="s">
        <v>21</v>
      </c>
      <c r="D49" s="9" t="s">
        <v>131</v>
      </c>
      <c r="E49" s="9" t="s">
        <v>31</v>
      </c>
      <c r="F49" s="9" t="s">
        <v>35</v>
      </c>
      <c r="G49" s="9">
        <v>25</v>
      </c>
      <c r="H49" s="9">
        <v>87</v>
      </c>
      <c r="I49" s="9">
        <v>75</v>
      </c>
      <c r="K49" s="9">
        <f t="shared" si="8"/>
        <v>0</v>
      </c>
      <c r="L49" s="9">
        <f t="shared" si="9"/>
        <v>0</v>
      </c>
      <c r="M49" s="9" t="s">
        <v>138</v>
      </c>
      <c r="N49" s="9" t="s">
        <v>139</v>
      </c>
      <c r="O49" s="9" t="s">
        <v>27</v>
      </c>
      <c r="P49" s="10">
        <v>0.6</v>
      </c>
      <c r="Q49" s="11">
        <v>25.5</v>
      </c>
      <c r="R49" s="12">
        <f t="shared" si="10"/>
        <v>0</v>
      </c>
      <c r="S49" s="12">
        <f t="shared" si="11"/>
        <v>0</v>
      </c>
      <c r="T49" s="9" t="s">
        <v>588</v>
      </c>
    </row>
    <row r="50" spans="1:20" ht="12.75" customHeight="1" x14ac:dyDescent="0.2">
      <c r="A50" s="8">
        <v>50501000050007</v>
      </c>
      <c r="B50" s="9" t="s">
        <v>20</v>
      </c>
      <c r="C50" s="9" t="s">
        <v>21</v>
      </c>
      <c r="D50" s="9" t="s">
        <v>131</v>
      </c>
      <c r="E50" s="9" t="s">
        <v>31</v>
      </c>
      <c r="F50" s="9" t="s">
        <v>38</v>
      </c>
      <c r="G50" s="9">
        <v>25</v>
      </c>
      <c r="H50" s="9">
        <v>98</v>
      </c>
      <c r="I50" s="9">
        <v>84</v>
      </c>
      <c r="K50" s="9">
        <f t="shared" si="8"/>
        <v>0</v>
      </c>
      <c r="L50" s="9">
        <f t="shared" si="9"/>
        <v>0</v>
      </c>
      <c r="M50" s="9" t="s">
        <v>140</v>
      </c>
      <c r="N50" s="9" t="s">
        <v>141</v>
      </c>
      <c r="O50" s="9" t="s">
        <v>27</v>
      </c>
      <c r="P50" s="10">
        <v>0.66500000000000004</v>
      </c>
      <c r="Q50" s="11">
        <v>28.95</v>
      </c>
      <c r="R50" s="12">
        <f t="shared" si="10"/>
        <v>0</v>
      </c>
      <c r="S50" s="12">
        <f t="shared" si="11"/>
        <v>0</v>
      </c>
      <c r="T50" s="9" t="s">
        <v>589</v>
      </c>
    </row>
    <row r="51" spans="1:20" ht="12.75" customHeight="1" x14ac:dyDescent="0.2">
      <c r="A51" s="8">
        <v>50501000050008</v>
      </c>
      <c r="B51" s="9" t="s">
        <v>20</v>
      </c>
      <c r="C51" s="9" t="s">
        <v>21</v>
      </c>
      <c r="D51" s="9" t="s">
        <v>131</v>
      </c>
      <c r="E51" s="9" t="s">
        <v>31</v>
      </c>
      <c r="F51" s="9" t="s">
        <v>41</v>
      </c>
      <c r="G51" s="9">
        <v>25</v>
      </c>
      <c r="H51" s="9">
        <v>98</v>
      </c>
      <c r="I51" s="9">
        <v>85</v>
      </c>
      <c r="K51" s="9">
        <f t="shared" si="8"/>
        <v>0</v>
      </c>
      <c r="L51" s="9">
        <f t="shared" si="9"/>
        <v>0</v>
      </c>
      <c r="M51" s="9" t="s">
        <v>142</v>
      </c>
      <c r="N51" s="9" t="s">
        <v>143</v>
      </c>
      <c r="O51" s="9" t="s">
        <v>27</v>
      </c>
      <c r="P51" s="10">
        <v>0.7</v>
      </c>
      <c r="Q51" s="11">
        <v>30.22</v>
      </c>
      <c r="R51" s="12">
        <f t="shared" si="10"/>
        <v>0</v>
      </c>
      <c r="S51" s="12">
        <f t="shared" si="11"/>
        <v>0</v>
      </c>
      <c r="T51" s="9" t="s">
        <v>590</v>
      </c>
    </row>
    <row r="52" spans="1:20" ht="12.75" customHeight="1" x14ac:dyDescent="0.2">
      <c r="A52" s="8">
        <v>50501000050010</v>
      </c>
      <c r="B52" s="9" t="s">
        <v>20</v>
      </c>
      <c r="C52" s="9" t="s">
        <v>21</v>
      </c>
      <c r="D52" s="9" t="s">
        <v>131</v>
      </c>
      <c r="E52" s="9" t="s">
        <v>31</v>
      </c>
      <c r="F52" s="9" t="s">
        <v>47</v>
      </c>
      <c r="G52" s="9">
        <v>25</v>
      </c>
      <c r="H52" s="9">
        <v>104</v>
      </c>
      <c r="I52" s="9">
        <v>89</v>
      </c>
      <c r="K52" s="9">
        <f t="shared" si="8"/>
        <v>0</v>
      </c>
      <c r="L52" s="9">
        <f t="shared" si="9"/>
        <v>0</v>
      </c>
      <c r="M52" s="9" t="s">
        <v>144</v>
      </c>
      <c r="N52" s="9" t="s">
        <v>145</v>
      </c>
      <c r="O52" s="9" t="s">
        <v>27</v>
      </c>
      <c r="P52" s="10">
        <v>0.8</v>
      </c>
      <c r="Q52" s="11">
        <v>34.299999999999997</v>
      </c>
      <c r="R52" s="12">
        <f t="shared" si="10"/>
        <v>0</v>
      </c>
      <c r="S52" s="12">
        <f t="shared" si="11"/>
        <v>0</v>
      </c>
      <c r="T52" s="9" t="s">
        <v>591</v>
      </c>
    </row>
    <row r="53" spans="1:20" ht="12.75" customHeight="1" x14ac:dyDescent="0.2">
      <c r="A53" s="8">
        <v>50501000050011</v>
      </c>
      <c r="B53" s="9" t="s">
        <v>20</v>
      </c>
      <c r="C53" s="9" t="s">
        <v>21</v>
      </c>
      <c r="D53" s="9" t="s">
        <v>131</v>
      </c>
      <c r="E53" s="9" t="s">
        <v>31</v>
      </c>
      <c r="F53" s="9" t="s">
        <v>67</v>
      </c>
      <c r="G53" s="9">
        <v>25</v>
      </c>
      <c r="H53" s="9">
        <v>109</v>
      </c>
      <c r="I53" s="9">
        <v>94</v>
      </c>
      <c r="K53" s="9">
        <f t="shared" si="8"/>
        <v>0</v>
      </c>
      <c r="L53" s="9">
        <f t="shared" si="9"/>
        <v>0</v>
      </c>
      <c r="M53" s="9" t="s">
        <v>146</v>
      </c>
      <c r="N53" s="9" t="s">
        <v>147</v>
      </c>
      <c r="O53" s="9" t="s">
        <v>27</v>
      </c>
      <c r="P53" s="10">
        <v>0.9</v>
      </c>
      <c r="Q53" s="11">
        <v>38.94</v>
      </c>
      <c r="R53" s="12">
        <f t="shared" si="10"/>
        <v>0</v>
      </c>
      <c r="S53" s="12">
        <f t="shared" si="11"/>
        <v>0</v>
      </c>
      <c r="T53" s="9" t="s">
        <v>592</v>
      </c>
    </row>
    <row r="54" spans="1:20" ht="12.75" customHeight="1" x14ac:dyDescent="0.2">
      <c r="A54" s="8">
        <v>50501000050012</v>
      </c>
      <c r="B54" s="9" t="s">
        <v>20</v>
      </c>
      <c r="C54" s="9" t="s">
        <v>21</v>
      </c>
      <c r="D54" s="9" t="s">
        <v>131</v>
      </c>
      <c r="E54" s="9" t="s">
        <v>23</v>
      </c>
      <c r="F54" s="9" t="s">
        <v>89</v>
      </c>
      <c r="G54" s="9">
        <v>25</v>
      </c>
      <c r="H54" s="9">
        <v>120</v>
      </c>
      <c r="I54" s="9">
        <v>104</v>
      </c>
      <c r="K54" s="9">
        <f t="shared" si="8"/>
        <v>0</v>
      </c>
      <c r="L54" s="9">
        <f t="shared" si="9"/>
        <v>0</v>
      </c>
      <c r="M54" s="9" t="s">
        <v>148</v>
      </c>
      <c r="N54" s="9" t="s">
        <v>149</v>
      </c>
      <c r="O54" s="9" t="s">
        <v>27</v>
      </c>
      <c r="P54" s="10">
        <v>1</v>
      </c>
      <c r="Q54" s="11">
        <v>43.3</v>
      </c>
      <c r="R54" s="12">
        <f t="shared" si="10"/>
        <v>0</v>
      </c>
      <c r="S54" s="12">
        <f t="shared" si="11"/>
        <v>0</v>
      </c>
      <c r="T54" s="9" t="s">
        <v>593</v>
      </c>
    </row>
    <row r="55" spans="1:20" ht="12.75" customHeight="1" x14ac:dyDescent="0.2">
      <c r="A55" s="8">
        <v>50501003100002</v>
      </c>
      <c r="B55" s="9" t="s">
        <v>20</v>
      </c>
      <c r="C55" s="9" t="s">
        <v>21</v>
      </c>
      <c r="D55" s="9" t="s">
        <v>150</v>
      </c>
      <c r="E55" s="9" t="s">
        <v>23</v>
      </c>
      <c r="F55" s="9" t="s">
        <v>32</v>
      </c>
      <c r="G55" s="9">
        <v>25</v>
      </c>
      <c r="H55" s="9">
        <v>114</v>
      </c>
      <c r="I55" s="9">
        <v>99</v>
      </c>
      <c r="K55" s="9">
        <f t="shared" si="8"/>
        <v>0</v>
      </c>
      <c r="L55" s="9">
        <f t="shared" si="9"/>
        <v>0</v>
      </c>
      <c r="M55" s="9" t="s">
        <v>151</v>
      </c>
      <c r="N55" s="9" t="s">
        <v>152</v>
      </c>
      <c r="O55" s="9" t="s">
        <v>27</v>
      </c>
      <c r="P55" s="10">
        <v>0.13700000000000001</v>
      </c>
      <c r="Q55" s="11">
        <v>21.5</v>
      </c>
      <c r="R55" s="12">
        <f t="shared" si="10"/>
        <v>0</v>
      </c>
      <c r="S55" s="12">
        <f t="shared" si="11"/>
        <v>0</v>
      </c>
      <c r="T55" s="9" t="s">
        <v>594</v>
      </c>
    </row>
    <row r="56" spans="1:20" ht="12.75" customHeight="1" x14ac:dyDescent="0.2">
      <c r="A56" s="8">
        <v>50501003100003</v>
      </c>
      <c r="B56" s="9" t="s">
        <v>20</v>
      </c>
      <c r="C56" s="9" t="s">
        <v>21</v>
      </c>
      <c r="D56" s="9" t="s">
        <v>150</v>
      </c>
      <c r="E56" s="9" t="s">
        <v>23</v>
      </c>
      <c r="F56" s="9" t="s">
        <v>35</v>
      </c>
      <c r="G56" s="9">
        <v>25</v>
      </c>
      <c r="H56" s="9">
        <v>133</v>
      </c>
      <c r="I56" s="9">
        <v>114</v>
      </c>
      <c r="K56" s="9">
        <f t="shared" si="8"/>
        <v>0</v>
      </c>
      <c r="L56" s="9">
        <f t="shared" si="9"/>
        <v>0</v>
      </c>
      <c r="M56" s="9" t="s">
        <v>153</v>
      </c>
      <c r="N56" s="9" t="s">
        <v>154</v>
      </c>
      <c r="O56" s="9" t="s">
        <v>27</v>
      </c>
      <c r="P56" s="10">
        <v>0.16200000000000001</v>
      </c>
      <c r="Q56" s="11">
        <v>25.5</v>
      </c>
      <c r="R56" s="12">
        <f t="shared" si="10"/>
        <v>0</v>
      </c>
      <c r="S56" s="12">
        <f t="shared" si="11"/>
        <v>0</v>
      </c>
      <c r="T56" s="9" t="s">
        <v>595</v>
      </c>
    </row>
    <row r="57" spans="1:20" ht="12.75" customHeight="1" x14ac:dyDescent="0.2">
      <c r="A57" s="8">
        <v>50501003100005</v>
      </c>
      <c r="B57" s="9" t="s">
        <v>20</v>
      </c>
      <c r="C57" s="9" t="s">
        <v>21</v>
      </c>
      <c r="D57" s="9" t="s">
        <v>150</v>
      </c>
      <c r="E57" s="9" t="s">
        <v>23</v>
      </c>
      <c r="F57" s="9" t="s">
        <v>44</v>
      </c>
      <c r="G57" s="9">
        <v>25</v>
      </c>
      <c r="H57" s="9">
        <v>152</v>
      </c>
      <c r="I57" s="9">
        <v>131</v>
      </c>
      <c r="K57" s="9">
        <f t="shared" si="8"/>
        <v>0</v>
      </c>
      <c r="L57" s="9">
        <f t="shared" si="9"/>
        <v>0</v>
      </c>
      <c r="M57" s="9" t="s">
        <v>155</v>
      </c>
      <c r="N57" s="9" t="s">
        <v>156</v>
      </c>
      <c r="O57" s="9" t="s">
        <v>27</v>
      </c>
      <c r="P57" s="10">
        <v>0.19800000000000001</v>
      </c>
      <c r="Q57" s="11">
        <v>32.4</v>
      </c>
      <c r="R57" s="12">
        <f t="shared" si="10"/>
        <v>0</v>
      </c>
      <c r="S57" s="12">
        <f t="shared" si="11"/>
        <v>0</v>
      </c>
      <c r="T57" s="9" t="s">
        <v>596</v>
      </c>
    </row>
    <row r="58" spans="1:20" ht="12.75" customHeight="1" x14ac:dyDescent="0.2">
      <c r="A58" s="8">
        <v>50501003100006</v>
      </c>
      <c r="B58" s="9" t="s">
        <v>20</v>
      </c>
      <c r="C58" s="9" t="s">
        <v>21</v>
      </c>
      <c r="D58" s="9" t="s">
        <v>150</v>
      </c>
      <c r="E58" s="9" t="s">
        <v>23</v>
      </c>
      <c r="F58" s="9" t="s">
        <v>47</v>
      </c>
      <c r="G58" s="9">
        <v>25</v>
      </c>
      <c r="H58" s="9">
        <v>164</v>
      </c>
      <c r="I58" s="9">
        <v>141</v>
      </c>
      <c r="K58" s="9">
        <f t="shared" si="8"/>
        <v>0</v>
      </c>
      <c r="L58" s="9">
        <f t="shared" si="9"/>
        <v>0</v>
      </c>
      <c r="M58" s="9" t="s">
        <v>157</v>
      </c>
      <c r="N58" s="9" t="s">
        <v>158</v>
      </c>
      <c r="O58" s="9" t="s">
        <v>27</v>
      </c>
      <c r="P58" s="10">
        <v>0.21099999999999999</v>
      </c>
      <c r="Q58" s="11">
        <v>34.299999999999997</v>
      </c>
      <c r="R58" s="12">
        <f t="shared" si="10"/>
        <v>0</v>
      </c>
      <c r="S58" s="12">
        <f t="shared" si="11"/>
        <v>0</v>
      </c>
      <c r="T58" s="9" t="s">
        <v>597</v>
      </c>
    </row>
    <row r="59" spans="1:20" ht="12.75" customHeight="1" x14ac:dyDescent="0.2">
      <c r="A59" s="8">
        <v>50501001520002</v>
      </c>
      <c r="B59" s="9" t="s">
        <v>20</v>
      </c>
      <c r="C59" s="9" t="s">
        <v>21</v>
      </c>
      <c r="D59" s="9" t="s">
        <v>150</v>
      </c>
      <c r="E59" s="9" t="s">
        <v>23</v>
      </c>
      <c r="F59" s="9" t="s">
        <v>28</v>
      </c>
      <c r="G59" s="9">
        <v>25</v>
      </c>
      <c r="H59" s="9">
        <v>107</v>
      </c>
      <c r="I59" s="9">
        <v>92</v>
      </c>
      <c r="K59" s="9">
        <f t="shared" si="8"/>
        <v>0</v>
      </c>
      <c r="L59" s="9">
        <f t="shared" si="9"/>
        <v>0</v>
      </c>
      <c r="M59" s="9" t="s">
        <v>159</v>
      </c>
      <c r="N59" s="9" t="s">
        <v>160</v>
      </c>
      <c r="O59" s="9" t="s">
        <v>27</v>
      </c>
      <c r="P59" s="10">
        <v>0.125</v>
      </c>
      <c r="Q59" s="11">
        <v>20.443000000000001</v>
      </c>
      <c r="R59" s="12">
        <f t="shared" si="10"/>
        <v>0</v>
      </c>
      <c r="S59" s="12">
        <f t="shared" si="11"/>
        <v>0</v>
      </c>
      <c r="T59" s="9" t="s">
        <v>598</v>
      </c>
    </row>
    <row r="60" spans="1:20" ht="12.75" customHeight="1" x14ac:dyDescent="0.2">
      <c r="A60" s="8">
        <v>50501001520006</v>
      </c>
      <c r="B60" s="9" t="s">
        <v>20</v>
      </c>
      <c r="C60" s="9" t="s">
        <v>21</v>
      </c>
      <c r="D60" s="9" t="s">
        <v>150</v>
      </c>
      <c r="E60" s="9" t="s">
        <v>23</v>
      </c>
      <c r="F60" s="9" t="s">
        <v>41</v>
      </c>
      <c r="G60" s="9">
        <v>25</v>
      </c>
      <c r="H60" s="9">
        <v>149</v>
      </c>
      <c r="I60" s="9">
        <v>128</v>
      </c>
      <c r="K60" s="9">
        <f t="shared" si="8"/>
        <v>0</v>
      </c>
      <c r="L60" s="9">
        <f t="shared" si="9"/>
        <v>0</v>
      </c>
      <c r="M60" s="9" t="s">
        <v>161</v>
      </c>
      <c r="N60" s="9" t="s">
        <v>162</v>
      </c>
      <c r="O60" s="9" t="s">
        <v>27</v>
      </c>
      <c r="P60" s="10">
        <v>0.187</v>
      </c>
      <c r="Q60" s="11">
        <v>32.146000000000001</v>
      </c>
      <c r="R60" s="12">
        <f t="shared" si="10"/>
        <v>0</v>
      </c>
      <c r="S60" s="12">
        <f t="shared" si="11"/>
        <v>0</v>
      </c>
      <c r="T60" s="9" t="s">
        <v>599</v>
      </c>
    </row>
    <row r="61" spans="1:20" ht="12.75" customHeight="1" x14ac:dyDescent="0.2">
      <c r="A61" s="8">
        <v>50501000000137</v>
      </c>
      <c r="B61" s="9" t="s">
        <v>20</v>
      </c>
      <c r="C61" s="9" t="s">
        <v>21</v>
      </c>
      <c r="D61" s="9" t="s">
        <v>163</v>
      </c>
      <c r="E61" s="9" t="s">
        <v>31</v>
      </c>
      <c r="F61" s="9" t="s">
        <v>93</v>
      </c>
      <c r="G61" s="9">
        <v>6</v>
      </c>
      <c r="H61" s="9">
        <v>70</v>
      </c>
      <c r="I61" s="9">
        <v>60</v>
      </c>
      <c r="K61" s="9">
        <f t="shared" si="8"/>
        <v>0</v>
      </c>
      <c r="L61" s="9">
        <f t="shared" si="9"/>
        <v>0</v>
      </c>
      <c r="M61" s="9" t="s">
        <v>164</v>
      </c>
      <c r="N61" s="9" t="s">
        <v>165</v>
      </c>
      <c r="O61" s="9" t="s">
        <v>166</v>
      </c>
      <c r="P61" s="10">
        <v>9.6000000000000002E-2</v>
      </c>
      <c r="Q61" s="11">
        <v>6.15</v>
      </c>
      <c r="R61" s="12">
        <f t="shared" si="10"/>
        <v>0</v>
      </c>
      <c r="S61" s="12">
        <f t="shared" si="11"/>
        <v>0</v>
      </c>
      <c r="T61" s="9" t="s">
        <v>600</v>
      </c>
    </row>
    <row r="62" spans="1:20" ht="12.75" customHeight="1" x14ac:dyDescent="0.2">
      <c r="A62" s="8">
        <v>50501000090011</v>
      </c>
      <c r="B62" s="9" t="s">
        <v>20</v>
      </c>
      <c r="C62" s="9" t="s">
        <v>21</v>
      </c>
      <c r="D62" s="9" t="s">
        <v>167</v>
      </c>
      <c r="E62" s="9" t="s">
        <v>31</v>
      </c>
      <c r="F62" s="9" t="s">
        <v>24</v>
      </c>
      <c r="G62" s="9">
        <v>28</v>
      </c>
      <c r="H62" s="9">
        <v>120</v>
      </c>
      <c r="I62" s="9">
        <v>104</v>
      </c>
      <c r="K62" s="9">
        <f t="shared" si="8"/>
        <v>0</v>
      </c>
      <c r="L62" s="9">
        <f t="shared" si="9"/>
        <v>0</v>
      </c>
      <c r="M62" s="9" t="s">
        <v>168</v>
      </c>
      <c r="N62" s="9" t="s">
        <v>169</v>
      </c>
      <c r="O62" s="9" t="s">
        <v>27</v>
      </c>
      <c r="P62" s="10">
        <v>0.47899999999999998</v>
      </c>
      <c r="Q62" s="11">
        <v>19.05</v>
      </c>
      <c r="R62" s="12">
        <f t="shared" si="10"/>
        <v>0</v>
      </c>
      <c r="S62" s="12">
        <f t="shared" si="11"/>
        <v>0</v>
      </c>
      <c r="T62" s="9" t="s">
        <v>601</v>
      </c>
    </row>
    <row r="63" spans="1:20" ht="12.75" customHeight="1" x14ac:dyDescent="0.2">
      <c r="A63" s="8">
        <v>50501000090002</v>
      </c>
      <c r="B63" s="9" t="s">
        <v>20</v>
      </c>
      <c r="C63" s="9" t="s">
        <v>21</v>
      </c>
      <c r="D63" s="9" t="s">
        <v>167</v>
      </c>
      <c r="E63" s="9" t="s">
        <v>31</v>
      </c>
      <c r="F63" s="9" t="s">
        <v>32</v>
      </c>
      <c r="G63" s="9">
        <v>28</v>
      </c>
      <c r="H63" s="9">
        <v>131</v>
      </c>
      <c r="I63" s="9">
        <v>113</v>
      </c>
      <c r="K63" s="9">
        <f t="shared" si="8"/>
        <v>0</v>
      </c>
      <c r="L63" s="9">
        <f t="shared" si="9"/>
        <v>0</v>
      </c>
      <c r="M63" s="9" t="s">
        <v>170</v>
      </c>
      <c r="N63" s="9" t="s">
        <v>171</v>
      </c>
      <c r="O63" s="9" t="s">
        <v>27</v>
      </c>
      <c r="P63" s="10">
        <v>0.56000000000000005</v>
      </c>
      <c r="Q63" s="11">
        <v>22.51</v>
      </c>
      <c r="R63" s="12">
        <f t="shared" si="10"/>
        <v>0</v>
      </c>
      <c r="S63" s="12">
        <f t="shared" si="11"/>
        <v>0</v>
      </c>
      <c r="T63" s="9" t="s">
        <v>602</v>
      </c>
    </row>
    <row r="64" spans="1:20" ht="12.75" customHeight="1" x14ac:dyDescent="0.2">
      <c r="A64" s="8">
        <v>50501000090003</v>
      </c>
      <c r="B64" s="9" t="s">
        <v>20</v>
      </c>
      <c r="C64" s="9" t="s">
        <v>21</v>
      </c>
      <c r="D64" s="9" t="s">
        <v>167</v>
      </c>
      <c r="E64" s="9" t="s">
        <v>31</v>
      </c>
      <c r="F64" s="9" t="s">
        <v>35</v>
      </c>
      <c r="G64" s="9">
        <v>28</v>
      </c>
      <c r="H64" s="9">
        <v>151</v>
      </c>
      <c r="I64" s="9">
        <v>130</v>
      </c>
      <c r="K64" s="9">
        <f t="shared" si="8"/>
        <v>0</v>
      </c>
      <c r="L64" s="9">
        <f t="shared" si="9"/>
        <v>0</v>
      </c>
      <c r="M64" s="9" t="s">
        <v>172</v>
      </c>
      <c r="N64" s="9" t="s">
        <v>173</v>
      </c>
      <c r="O64" s="9" t="s">
        <v>27</v>
      </c>
      <c r="P64" s="10">
        <v>0.67200000000000004</v>
      </c>
      <c r="Q64" s="11">
        <v>27.17</v>
      </c>
      <c r="R64" s="12">
        <f t="shared" si="10"/>
        <v>0</v>
      </c>
      <c r="S64" s="12">
        <f t="shared" si="11"/>
        <v>0</v>
      </c>
      <c r="T64" s="9" t="s">
        <v>603</v>
      </c>
    </row>
    <row r="65" spans="1:20" ht="12.75" customHeight="1" x14ac:dyDescent="0.2">
      <c r="A65" s="8">
        <v>50501000090004</v>
      </c>
      <c r="B65" s="9" t="s">
        <v>20</v>
      </c>
      <c r="C65" s="9" t="s">
        <v>21</v>
      </c>
      <c r="D65" s="9" t="s">
        <v>167</v>
      </c>
      <c r="E65" s="9" t="s">
        <v>31</v>
      </c>
      <c r="F65" s="9" t="s">
        <v>38</v>
      </c>
      <c r="G65" s="9">
        <v>28</v>
      </c>
      <c r="H65" s="9">
        <v>172</v>
      </c>
      <c r="I65" s="9">
        <v>149</v>
      </c>
      <c r="K65" s="9">
        <f t="shared" si="8"/>
        <v>0</v>
      </c>
      <c r="L65" s="9">
        <f t="shared" si="9"/>
        <v>0</v>
      </c>
      <c r="M65" s="9" t="s">
        <v>174</v>
      </c>
      <c r="N65" s="9" t="s">
        <v>175</v>
      </c>
      <c r="O65" s="9" t="s">
        <v>27</v>
      </c>
      <c r="P65" s="10">
        <v>0.745</v>
      </c>
      <c r="Q65" s="11">
        <v>30.07</v>
      </c>
      <c r="R65" s="12">
        <f t="shared" si="10"/>
        <v>0</v>
      </c>
      <c r="S65" s="12">
        <f t="shared" si="11"/>
        <v>0</v>
      </c>
      <c r="T65" s="9" t="s">
        <v>604</v>
      </c>
    </row>
    <row r="66" spans="1:20" ht="12.75" customHeight="1" x14ac:dyDescent="0.2">
      <c r="A66" s="8">
        <v>50501000090005</v>
      </c>
      <c r="B66" s="9" t="s">
        <v>20</v>
      </c>
      <c r="C66" s="9" t="s">
        <v>21</v>
      </c>
      <c r="D66" s="9" t="s">
        <v>167</v>
      </c>
      <c r="E66" s="9" t="s">
        <v>31</v>
      </c>
      <c r="F66" s="9" t="s">
        <v>41</v>
      </c>
      <c r="G66" s="9">
        <v>28</v>
      </c>
      <c r="H66" s="9">
        <v>172</v>
      </c>
      <c r="I66" s="9">
        <v>149</v>
      </c>
      <c r="K66" s="9">
        <f t="shared" si="8"/>
        <v>0</v>
      </c>
      <c r="L66" s="9">
        <f t="shared" si="9"/>
        <v>0</v>
      </c>
      <c r="M66" s="9" t="s">
        <v>176</v>
      </c>
      <c r="N66" s="9" t="s">
        <v>177</v>
      </c>
      <c r="O66" s="9" t="s">
        <v>27</v>
      </c>
      <c r="P66" s="10">
        <v>0.78400000000000003</v>
      </c>
      <c r="Q66" s="11">
        <v>31.24</v>
      </c>
      <c r="R66" s="12">
        <f t="shared" si="10"/>
        <v>0</v>
      </c>
      <c r="S66" s="12">
        <f t="shared" si="11"/>
        <v>0</v>
      </c>
      <c r="T66" s="9" t="s">
        <v>605</v>
      </c>
    </row>
    <row r="67" spans="1:20" ht="12.75" customHeight="1" x14ac:dyDescent="0.2">
      <c r="A67" s="8">
        <v>50501000090006</v>
      </c>
      <c r="B67" s="9" t="s">
        <v>20</v>
      </c>
      <c r="C67" s="9" t="s">
        <v>21</v>
      </c>
      <c r="D67" s="9" t="s">
        <v>167</v>
      </c>
      <c r="E67" s="9" t="s">
        <v>31</v>
      </c>
      <c r="F67" s="9" t="s">
        <v>44</v>
      </c>
      <c r="G67" s="9">
        <v>28</v>
      </c>
      <c r="H67" s="9">
        <v>182</v>
      </c>
      <c r="I67" s="9">
        <v>157</v>
      </c>
      <c r="K67" s="9">
        <f t="shared" si="8"/>
        <v>0</v>
      </c>
      <c r="L67" s="9">
        <f t="shared" si="9"/>
        <v>0</v>
      </c>
      <c r="M67" s="9" t="s">
        <v>178</v>
      </c>
      <c r="N67" s="9" t="s">
        <v>179</v>
      </c>
      <c r="O67" s="9" t="s">
        <v>27</v>
      </c>
      <c r="P67" s="10">
        <v>0.84</v>
      </c>
      <c r="Q67" s="11">
        <v>34.17</v>
      </c>
      <c r="R67" s="12">
        <f t="shared" si="10"/>
        <v>0</v>
      </c>
      <c r="S67" s="12">
        <f t="shared" si="11"/>
        <v>0</v>
      </c>
      <c r="T67" s="9" t="s">
        <v>606</v>
      </c>
    </row>
    <row r="68" spans="1:20" ht="12.75" customHeight="1" x14ac:dyDescent="0.2">
      <c r="A68" s="8">
        <v>50501000090007</v>
      </c>
      <c r="B68" s="9" t="s">
        <v>20</v>
      </c>
      <c r="C68" s="9" t="s">
        <v>21</v>
      </c>
      <c r="D68" s="9" t="s">
        <v>167</v>
      </c>
      <c r="E68" s="9" t="s">
        <v>31</v>
      </c>
      <c r="F68" s="9" t="s">
        <v>47</v>
      </c>
      <c r="G68" s="9">
        <v>28</v>
      </c>
      <c r="H68" s="9">
        <v>195</v>
      </c>
      <c r="I68" s="9">
        <v>168</v>
      </c>
      <c r="K68" s="9">
        <f t="shared" si="8"/>
        <v>0</v>
      </c>
      <c r="L68" s="9">
        <f t="shared" si="9"/>
        <v>0</v>
      </c>
      <c r="M68" s="9" t="s">
        <v>180</v>
      </c>
      <c r="N68" s="9" t="s">
        <v>181</v>
      </c>
      <c r="O68" s="9" t="s">
        <v>27</v>
      </c>
      <c r="P68" s="10">
        <v>0.89600000000000002</v>
      </c>
      <c r="Q68" s="11">
        <v>38</v>
      </c>
      <c r="R68" s="12">
        <f t="shared" si="10"/>
        <v>0</v>
      </c>
      <c r="S68" s="12">
        <f t="shared" si="11"/>
        <v>0</v>
      </c>
      <c r="T68" s="9" t="s">
        <v>607</v>
      </c>
    </row>
    <row r="69" spans="1:20" ht="12.75" customHeight="1" x14ac:dyDescent="0.2">
      <c r="A69" s="8">
        <v>50501000090008</v>
      </c>
      <c r="B69" s="9" t="s">
        <v>20</v>
      </c>
      <c r="C69" s="9" t="s">
        <v>21</v>
      </c>
      <c r="D69" s="9" t="s">
        <v>167</v>
      </c>
      <c r="E69" s="9" t="s">
        <v>31</v>
      </c>
      <c r="F69" s="9" t="s">
        <v>67</v>
      </c>
      <c r="G69" s="9">
        <v>28</v>
      </c>
      <c r="H69" s="9">
        <v>216</v>
      </c>
      <c r="I69" s="9">
        <v>186</v>
      </c>
      <c r="K69" s="9">
        <f t="shared" si="8"/>
        <v>0</v>
      </c>
      <c r="L69" s="9">
        <f t="shared" si="9"/>
        <v>0</v>
      </c>
      <c r="M69" s="9" t="s">
        <v>182</v>
      </c>
      <c r="N69" s="9" t="s">
        <v>183</v>
      </c>
      <c r="O69" s="9" t="s">
        <v>27</v>
      </c>
      <c r="P69" s="10">
        <v>1.008</v>
      </c>
      <c r="Q69" s="11">
        <v>41.17</v>
      </c>
      <c r="R69" s="12">
        <f t="shared" si="10"/>
        <v>0</v>
      </c>
      <c r="S69" s="12">
        <f t="shared" si="11"/>
        <v>0</v>
      </c>
      <c r="T69" s="9" t="s">
        <v>608</v>
      </c>
    </row>
    <row r="70" spans="1:20" ht="12.75" customHeight="1" x14ac:dyDescent="0.2">
      <c r="A70" s="8">
        <v>50501000090009</v>
      </c>
      <c r="B70" s="9" t="s">
        <v>20</v>
      </c>
      <c r="C70" s="9" t="s">
        <v>21</v>
      </c>
      <c r="D70" s="9" t="s">
        <v>167</v>
      </c>
      <c r="E70" s="9" t="s">
        <v>31</v>
      </c>
      <c r="F70" s="9" t="s">
        <v>89</v>
      </c>
      <c r="G70" s="9">
        <v>28</v>
      </c>
      <c r="H70" s="9">
        <v>235</v>
      </c>
      <c r="I70" s="9">
        <v>202</v>
      </c>
      <c r="K70" s="9">
        <f t="shared" ref="K70:K101" si="12">H70*J70</f>
        <v>0</v>
      </c>
      <c r="L70" s="9">
        <f t="shared" ref="L70:L101" si="13">J70*I70</f>
        <v>0</v>
      </c>
      <c r="M70" s="9" t="s">
        <v>184</v>
      </c>
      <c r="N70" s="9" t="s">
        <v>185</v>
      </c>
      <c r="O70" s="9" t="s">
        <v>27</v>
      </c>
      <c r="P70" s="10">
        <v>1.1200000000000001</v>
      </c>
      <c r="Q70" s="11">
        <v>45.74</v>
      </c>
      <c r="R70" s="12">
        <f t="shared" ref="R70:R101" si="14">P70*J70</f>
        <v>0</v>
      </c>
      <c r="S70" s="12">
        <f t="shared" ref="S70:S101" si="15">Q70*J70</f>
        <v>0</v>
      </c>
      <c r="T70" s="9" t="s">
        <v>609</v>
      </c>
    </row>
    <row r="71" spans="1:20" ht="12.75" customHeight="1" x14ac:dyDescent="0.2">
      <c r="A71" s="8">
        <v>50501001530005</v>
      </c>
      <c r="B71" s="9" t="s">
        <v>20</v>
      </c>
      <c r="C71" s="9" t="s">
        <v>21</v>
      </c>
      <c r="D71" s="9" t="s">
        <v>186</v>
      </c>
      <c r="E71" s="9" t="s">
        <v>23</v>
      </c>
      <c r="F71" s="9" t="s">
        <v>93</v>
      </c>
      <c r="G71" s="9">
        <v>28</v>
      </c>
      <c r="H71" s="9">
        <v>132</v>
      </c>
      <c r="I71" s="9">
        <v>114</v>
      </c>
      <c r="K71" s="9">
        <f t="shared" si="12"/>
        <v>0</v>
      </c>
      <c r="L71" s="9">
        <f t="shared" si="13"/>
        <v>0</v>
      </c>
      <c r="M71" s="9" t="s">
        <v>187</v>
      </c>
      <c r="N71" s="9" t="s">
        <v>188</v>
      </c>
      <c r="O71" s="9" t="s">
        <v>27</v>
      </c>
      <c r="P71" s="10">
        <v>0.113</v>
      </c>
      <c r="Q71" s="11">
        <v>18.126000000000001</v>
      </c>
      <c r="R71" s="12">
        <f t="shared" si="14"/>
        <v>0</v>
      </c>
      <c r="S71" s="12">
        <f t="shared" si="15"/>
        <v>0</v>
      </c>
      <c r="T71" s="9" t="s">
        <v>610</v>
      </c>
    </row>
    <row r="72" spans="1:20" ht="12.75" customHeight="1" x14ac:dyDescent="0.2">
      <c r="A72" s="8">
        <v>50501001530006</v>
      </c>
      <c r="B72" s="9" t="s">
        <v>20</v>
      </c>
      <c r="C72" s="9" t="s">
        <v>21</v>
      </c>
      <c r="D72" s="9" t="s">
        <v>186</v>
      </c>
      <c r="E72" s="9" t="s">
        <v>23</v>
      </c>
      <c r="F72" s="9" t="s">
        <v>28</v>
      </c>
      <c r="G72" s="9">
        <v>28</v>
      </c>
      <c r="H72" s="9">
        <v>145</v>
      </c>
      <c r="I72" s="9">
        <v>125</v>
      </c>
      <c r="K72" s="9">
        <f t="shared" si="12"/>
        <v>0</v>
      </c>
      <c r="L72" s="9">
        <f t="shared" si="13"/>
        <v>0</v>
      </c>
      <c r="M72" s="9" t="s">
        <v>189</v>
      </c>
      <c r="N72" s="9" t="s">
        <v>190</v>
      </c>
      <c r="O72" s="9" t="s">
        <v>27</v>
      </c>
      <c r="P72" s="10">
        <v>0.125</v>
      </c>
      <c r="Q72" s="11">
        <v>20.827999999999999</v>
      </c>
      <c r="R72" s="12">
        <f t="shared" si="14"/>
        <v>0</v>
      </c>
      <c r="S72" s="12">
        <f t="shared" si="15"/>
        <v>0</v>
      </c>
      <c r="T72" s="9" t="s">
        <v>611</v>
      </c>
    </row>
    <row r="73" spans="1:20" ht="12.75" customHeight="1" x14ac:dyDescent="0.2">
      <c r="A73" s="8">
        <v>50501001530007</v>
      </c>
      <c r="B73" s="9" t="s">
        <v>20</v>
      </c>
      <c r="C73" s="9" t="s">
        <v>21</v>
      </c>
      <c r="D73" s="9" t="s">
        <v>186</v>
      </c>
      <c r="E73" s="9" t="s">
        <v>23</v>
      </c>
      <c r="F73" s="9" t="s">
        <v>32</v>
      </c>
      <c r="G73" s="9">
        <v>28</v>
      </c>
      <c r="H73" s="9">
        <v>156</v>
      </c>
      <c r="I73" s="9">
        <v>134</v>
      </c>
      <c r="K73" s="9">
        <f t="shared" si="12"/>
        <v>0</v>
      </c>
      <c r="L73" s="9">
        <f t="shared" si="13"/>
        <v>0</v>
      </c>
      <c r="M73" s="9" t="s">
        <v>191</v>
      </c>
      <c r="N73" s="9" t="s">
        <v>192</v>
      </c>
      <c r="O73" s="9" t="s">
        <v>27</v>
      </c>
      <c r="P73" s="10">
        <v>0.13800000000000001</v>
      </c>
      <c r="Q73" s="11">
        <v>22.585000000000001</v>
      </c>
      <c r="R73" s="12">
        <f t="shared" si="14"/>
        <v>0</v>
      </c>
      <c r="S73" s="12">
        <f t="shared" si="15"/>
        <v>0</v>
      </c>
      <c r="T73" s="9" t="s">
        <v>612</v>
      </c>
    </row>
    <row r="74" spans="1:20" ht="12.75" customHeight="1" x14ac:dyDescent="0.2">
      <c r="A74" s="8">
        <v>50501001530008</v>
      </c>
      <c r="B74" s="9" t="s">
        <v>20</v>
      </c>
      <c r="C74" s="9" t="s">
        <v>21</v>
      </c>
      <c r="D74" s="9" t="s">
        <v>186</v>
      </c>
      <c r="E74" s="9" t="s">
        <v>23</v>
      </c>
      <c r="F74" s="9" t="s">
        <v>35</v>
      </c>
      <c r="G74" s="9">
        <v>28</v>
      </c>
      <c r="H74" s="9">
        <v>179</v>
      </c>
      <c r="I74" s="9">
        <v>154</v>
      </c>
      <c r="K74" s="9">
        <f t="shared" si="12"/>
        <v>0</v>
      </c>
      <c r="L74" s="9">
        <f t="shared" si="13"/>
        <v>0</v>
      </c>
      <c r="M74" s="9" t="s">
        <v>193</v>
      </c>
      <c r="N74" s="9" t="s">
        <v>194</v>
      </c>
      <c r="O74" s="9" t="s">
        <v>27</v>
      </c>
      <c r="P74" s="10">
        <v>0.16200000000000001</v>
      </c>
      <c r="Q74" s="11">
        <v>25.646999999999998</v>
      </c>
      <c r="R74" s="12">
        <f t="shared" si="14"/>
        <v>0</v>
      </c>
      <c r="S74" s="12">
        <f t="shared" si="15"/>
        <v>0</v>
      </c>
      <c r="T74" s="9" t="s">
        <v>613</v>
      </c>
    </row>
    <row r="75" spans="1:20" ht="12.75" customHeight="1" x14ac:dyDescent="0.2">
      <c r="A75" s="8">
        <v>50501001530009</v>
      </c>
      <c r="B75" s="9" t="s">
        <v>20</v>
      </c>
      <c r="C75" s="9" t="s">
        <v>21</v>
      </c>
      <c r="D75" s="9" t="s">
        <v>186</v>
      </c>
      <c r="E75" s="9" t="s">
        <v>23</v>
      </c>
      <c r="F75" s="9" t="s">
        <v>41</v>
      </c>
      <c r="G75" s="9">
        <v>28</v>
      </c>
      <c r="H75" s="9">
        <v>204</v>
      </c>
      <c r="I75" s="9">
        <v>176</v>
      </c>
      <c r="K75" s="9">
        <f t="shared" si="12"/>
        <v>0</v>
      </c>
      <c r="L75" s="9">
        <f t="shared" si="13"/>
        <v>0</v>
      </c>
      <c r="M75" s="9" t="s">
        <v>195</v>
      </c>
      <c r="N75" s="9" t="s">
        <v>196</v>
      </c>
      <c r="O75" s="9" t="s">
        <v>27</v>
      </c>
      <c r="P75" s="10">
        <v>0.187</v>
      </c>
      <c r="Q75" s="11">
        <v>31.704999999999998</v>
      </c>
      <c r="R75" s="12">
        <f t="shared" si="14"/>
        <v>0</v>
      </c>
      <c r="S75" s="12">
        <f t="shared" si="15"/>
        <v>0</v>
      </c>
      <c r="T75" s="9" t="s">
        <v>614</v>
      </c>
    </row>
    <row r="76" spans="1:20" ht="12.75" customHeight="1" x14ac:dyDescent="0.2">
      <c r="A76" s="8">
        <v>50501001530001</v>
      </c>
      <c r="B76" s="9" t="s">
        <v>20</v>
      </c>
      <c r="C76" s="9" t="s">
        <v>21</v>
      </c>
      <c r="D76" s="9" t="s">
        <v>186</v>
      </c>
      <c r="E76" s="9" t="s">
        <v>23</v>
      </c>
      <c r="F76" s="9" t="s">
        <v>44</v>
      </c>
      <c r="G76" s="9">
        <v>28</v>
      </c>
      <c r="H76" s="9">
        <v>215</v>
      </c>
      <c r="I76" s="9">
        <v>185</v>
      </c>
      <c r="K76" s="9">
        <f t="shared" si="12"/>
        <v>0</v>
      </c>
      <c r="L76" s="9">
        <f t="shared" si="13"/>
        <v>0</v>
      </c>
      <c r="M76" s="9" t="s">
        <v>197</v>
      </c>
      <c r="N76" s="9" t="s">
        <v>198</v>
      </c>
      <c r="O76" s="9" t="s">
        <v>27</v>
      </c>
      <c r="P76" s="10">
        <v>0.19900000000000001</v>
      </c>
      <c r="Q76" s="11">
        <v>33.515999999999998</v>
      </c>
      <c r="R76" s="12">
        <f t="shared" si="14"/>
        <v>0</v>
      </c>
      <c r="S76" s="12">
        <f t="shared" si="15"/>
        <v>0</v>
      </c>
      <c r="T76" s="9" t="s">
        <v>615</v>
      </c>
    </row>
    <row r="77" spans="1:20" ht="12.75" customHeight="1" x14ac:dyDescent="0.2">
      <c r="A77" s="8">
        <v>50501001530002</v>
      </c>
      <c r="B77" s="9" t="s">
        <v>20</v>
      </c>
      <c r="C77" s="9" t="s">
        <v>21</v>
      </c>
      <c r="D77" s="9" t="s">
        <v>186</v>
      </c>
      <c r="E77" s="9" t="s">
        <v>23</v>
      </c>
      <c r="F77" s="9" t="s">
        <v>47</v>
      </c>
      <c r="G77" s="9">
        <v>28</v>
      </c>
      <c r="H77" s="9">
        <v>227</v>
      </c>
      <c r="I77" s="9">
        <v>195</v>
      </c>
      <c r="K77" s="9">
        <f t="shared" si="12"/>
        <v>0</v>
      </c>
      <c r="L77" s="9">
        <f t="shared" si="13"/>
        <v>0</v>
      </c>
      <c r="M77" s="9" t="s">
        <v>199</v>
      </c>
      <c r="N77" s="9" t="s">
        <v>200</v>
      </c>
      <c r="O77" s="9" t="s">
        <v>27</v>
      </c>
      <c r="P77" s="10">
        <v>0.21099999999999999</v>
      </c>
      <c r="Q77" s="11">
        <v>34.326000000000001</v>
      </c>
      <c r="R77" s="12">
        <f t="shared" si="14"/>
        <v>0</v>
      </c>
      <c r="S77" s="12">
        <f t="shared" si="15"/>
        <v>0</v>
      </c>
      <c r="T77" s="9" t="s">
        <v>616</v>
      </c>
    </row>
    <row r="78" spans="1:20" ht="12.75" customHeight="1" x14ac:dyDescent="0.2">
      <c r="A78" s="8">
        <v>50501001530010</v>
      </c>
      <c r="B78" s="9" t="s">
        <v>20</v>
      </c>
      <c r="C78" s="9" t="s">
        <v>21</v>
      </c>
      <c r="D78" s="9" t="s">
        <v>186</v>
      </c>
      <c r="E78" s="9" t="s">
        <v>23</v>
      </c>
      <c r="F78" s="9" t="s">
        <v>67</v>
      </c>
      <c r="G78" s="9">
        <v>28</v>
      </c>
      <c r="H78" s="9">
        <v>249</v>
      </c>
      <c r="I78" s="9">
        <v>214</v>
      </c>
      <c r="K78" s="9">
        <f t="shared" si="12"/>
        <v>0</v>
      </c>
      <c r="L78" s="9">
        <f t="shared" si="13"/>
        <v>0</v>
      </c>
      <c r="M78" s="9" t="s">
        <v>201</v>
      </c>
      <c r="N78" s="9" t="s">
        <v>202</v>
      </c>
      <c r="O78" s="9" t="s">
        <v>27</v>
      </c>
      <c r="P78" s="10">
        <v>0.23599999999999999</v>
      </c>
      <c r="Q78" s="11">
        <v>38.393999999999998</v>
      </c>
      <c r="R78" s="12">
        <f t="shared" si="14"/>
        <v>0</v>
      </c>
      <c r="S78" s="12">
        <f t="shared" si="15"/>
        <v>0</v>
      </c>
      <c r="T78" s="9" t="s">
        <v>617</v>
      </c>
    </row>
    <row r="79" spans="1:20" ht="12.75" customHeight="1" x14ac:dyDescent="0.2">
      <c r="A79" s="8">
        <v>50501001530011</v>
      </c>
      <c r="B79" s="9" t="s">
        <v>20</v>
      </c>
      <c r="C79" s="9" t="s">
        <v>21</v>
      </c>
      <c r="D79" s="9" t="s">
        <v>186</v>
      </c>
      <c r="E79" s="9" t="s">
        <v>23</v>
      </c>
      <c r="F79" s="9" t="s">
        <v>89</v>
      </c>
      <c r="G79" s="9">
        <v>28</v>
      </c>
      <c r="H79" s="9">
        <v>270</v>
      </c>
      <c r="I79" s="9">
        <v>232</v>
      </c>
      <c r="K79" s="9">
        <f t="shared" si="12"/>
        <v>0</v>
      </c>
      <c r="L79" s="9">
        <f t="shared" si="13"/>
        <v>0</v>
      </c>
      <c r="M79" s="9" t="s">
        <v>203</v>
      </c>
      <c r="N79" s="9" t="s">
        <v>204</v>
      </c>
      <c r="O79" s="9" t="s">
        <v>27</v>
      </c>
      <c r="P79" s="10">
        <v>0.26</v>
      </c>
      <c r="Q79" s="11">
        <v>40.911999999999999</v>
      </c>
      <c r="R79" s="12">
        <f t="shared" si="14"/>
        <v>0</v>
      </c>
      <c r="S79" s="12">
        <f t="shared" si="15"/>
        <v>0</v>
      </c>
      <c r="T79" s="9" t="s">
        <v>618</v>
      </c>
    </row>
    <row r="80" spans="1:20" ht="12.75" customHeight="1" x14ac:dyDescent="0.2">
      <c r="A80" s="8">
        <v>50501000210001</v>
      </c>
      <c r="B80" s="9" t="s">
        <v>20</v>
      </c>
      <c r="C80" s="9" t="s">
        <v>21</v>
      </c>
      <c r="D80" s="9" t="s">
        <v>205</v>
      </c>
      <c r="E80" s="9" t="s">
        <v>31</v>
      </c>
      <c r="F80" s="9" t="s">
        <v>24</v>
      </c>
      <c r="H80" s="9">
        <v>64</v>
      </c>
      <c r="I80" s="9">
        <v>55</v>
      </c>
      <c r="K80" s="9">
        <f t="shared" si="12"/>
        <v>0</v>
      </c>
      <c r="L80" s="9">
        <f t="shared" si="13"/>
        <v>0</v>
      </c>
      <c r="M80" s="9" t="s">
        <v>206</v>
      </c>
      <c r="N80" s="9" t="s">
        <v>207</v>
      </c>
      <c r="O80" s="9" t="s">
        <v>27</v>
      </c>
      <c r="P80" s="10">
        <v>0.42799999999999999</v>
      </c>
      <c r="Q80" s="11">
        <v>20.28</v>
      </c>
      <c r="R80" s="12">
        <f t="shared" si="14"/>
        <v>0</v>
      </c>
      <c r="S80" s="12">
        <f t="shared" si="15"/>
        <v>0</v>
      </c>
      <c r="T80" s="9" t="s">
        <v>619</v>
      </c>
    </row>
    <row r="81" spans="1:20" ht="12.75" customHeight="1" x14ac:dyDescent="0.2">
      <c r="A81" s="8">
        <v>50501000210003</v>
      </c>
      <c r="B81" s="9" t="s">
        <v>20</v>
      </c>
      <c r="C81" s="9" t="s">
        <v>21</v>
      </c>
      <c r="D81" s="9" t="s">
        <v>205</v>
      </c>
      <c r="E81" s="9" t="s">
        <v>31</v>
      </c>
      <c r="F81" s="9" t="s">
        <v>32</v>
      </c>
      <c r="H81" s="9">
        <v>67</v>
      </c>
      <c r="I81" s="9">
        <v>58</v>
      </c>
      <c r="K81" s="9">
        <f t="shared" si="12"/>
        <v>0</v>
      </c>
      <c r="L81" s="9">
        <f t="shared" si="13"/>
        <v>0</v>
      </c>
      <c r="M81" s="9" t="s">
        <v>208</v>
      </c>
      <c r="N81" s="9" t="s">
        <v>209</v>
      </c>
      <c r="O81" s="9" t="s">
        <v>27</v>
      </c>
      <c r="P81" s="10">
        <v>0.5</v>
      </c>
      <c r="Q81" s="11">
        <v>23.48</v>
      </c>
      <c r="R81" s="12">
        <f t="shared" si="14"/>
        <v>0</v>
      </c>
      <c r="S81" s="12">
        <f t="shared" si="15"/>
        <v>0</v>
      </c>
      <c r="T81" s="9" t="s">
        <v>620</v>
      </c>
    </row>
    <row r="82" spans="1:20" ht="12.75" customHeight="1" x14ac:dyDescent="0.2">
      <c r="A82" s="8">
        <v>50501000210004</v>
      </c>
      <c r="B82" s="9" t="s">
        <v>20</v>
      </c>
      <c r="C82" s="9" t="s">
        <v>21</v>
      </c>
      <c r="D82" s="9" t="s">
        <v>205</v>
      </c>
      <c r="E82" s="9" t="s">
        <v>31</v>
      </c>
      <c r="F82" s="9" t="s">
        <v>35</v>
      </c>
      <c r="H82" s="9">
        <v>77</v>
      </c>
      <c r="I82" s="9">
        <v>66</v>
      </c>
      <c r="K82" s="9">
        <f t="shared" si="12"/>
        <v>0</v>
      </c>
      <c r="L82" s="9">
        <f t="shared" si="13"/>
        <v>0</v>
      </c>
      <c r="M82" s="9" t="s">
        <v>210</v>
      </c>
      <c r="N82" s="9" t="s">
        <v>211</v>
      </c>
      <c r="O82" s="9" t="s">
        <v>27</v>
      </c>
      <c r="P82" s="10">
        <v>0.6</v>
      </c>
      <c r="Q82" s="11">
        <v>28.17</v>
      </c>
      <c r="R82" s="12">
        <f t="shared" si="14"/>
        <v>0</v>
      </c>
      <c r="S82" s="12">
        <f t="shared" si="15"/>
        <v>0</v>
      </c>
      <c r="T82" s="9" t="s">
        <v>621</v>
      </c>
    </row>
    <row r="83" spans="1:20" ht="12.75" customHeight="1" x14ac:dyDescent="0.2">
      <c r="A83" s="8">
        <v>50501000210005</v>
      </c>
      <c r="B83" s="9" t="s">
        <v>20</v>
      </c>
      <c r="C83" s="9" t="s">
        <v>21</v>
      </c>
      <c r="D83" s="9" t="s">
        <v>205</v>
      </c>
      <c r="E83" s="9" t="s">
        <v>31</v>
      </c>
      <c r="F83" s="9" t="s">
        <v>38</v>
      </c>
      <c r="H83" s="9">
        <v>87</v>
      </c>
      <c r="I83" s="9">
        <v>75</v>
      </c>
      <c r="K83" s="9">
        <f t="shared" si="12"/>
        <v>0</v>
      </c>
      <c r="L83" s="9">
        <f t="shared" si="13"/>
        <v>0</v>
      </c>
      <c r="M83" s="9" t="s">
        <v>212</v>
      </c>
      <c r="N83" s="9" t="s">
        <v>213</v>
      </c>
      <c r="O83" s="9" t="s">
        <v>27</v>
      </c>
      <c r="P83" s="10">
        <v>0.66500000000000004</v>
      </c>
      <c r="Q83" s="11">
        <v>31.6</v>
      </c>
      <c r="R83" s="12">
        <f t="shared" si="14"/>
        <v>0</v>
      </c>
      <c r="S83" s="12">
        <f t="shared" si="15"/>
        <v>0</v>
      </c>
      <c r="T83" s="9" t="s">
        <v>622</v>
      </c>
    </row>
    <row r="84" spans="1:20" ht="12.75" customHeight="1" x14ac:dyDescent="0.2">
      <c r="A84" s="8">
        <v>50501000210007</v>
      </c>
      <c r="B84" s="9" t="s">
        <v>20</v>
      </c>
      <c r="C84" s="9" t="s">
        <v>21</v>
      </c>
      <c r="D84" s="9" t="s">
        <v>205</v>
      </c>
      <c r="E84" s="9" t="s">
        <v>31</v>
      </c>
      <c r="F84" s="9" t="s">
        <v>44</v>
      </c>
      <c r="H84" s="9">
        <v>91</v>
      </c>
      <c r="I84" s="9">
        <v>78</v>
      </c>
      <c r="K84" s="9">
        <f t="shared" si="12"/>
        <v>0</v>
      </c>
      <c r="L84" s="9">
        <f t="shared" si="13"/>
        <v>0</v>
      </c>
      <c r="M84" s="9" t="s">
        <v>214</v>
      </c>
      <c r="N84" s="9" t="s">
        <v>215</v>
      </c>
      <c r="O84" s="9" t="s">
        <v>27</v>
      </c>
      <c r="P84" s="10">
        <v>0.75</v>
      </c>
      <c r="Q84" s="11">
        <v>35.26</v>
      </c>
      <c r="R84" s="12">
        <f t="shared" si="14"/>
        <v>0</v>
      </c>
      <c r="S84" s="12">
        <f t="shared" si="15"/>
        <v>0</v>
      </c>
      <c r="T84" s="9" t="s">
        <v>623</v>
      </c>
    </row>
    <row r="85" spans="1:20" ht="12.75" customHeight="1" x14ac:dyDescent="0.2">
      <c r="A85" s="8">
        <v>50501000210008</v>
      </c>
      <c r="B85" s="9" t="s">
        <v>20</v>
      </c>
      <c r="C85" s="9" t="s">
        <v>21</v>
      </c>
      <c r="D85" s="9" t="s">
        <v>205</v>
      </c>
      <c r="E85" s="9" t="s">
        <v>31</v>
      </c>
      <c r="F85" s="9" t="s">
        <v>47</v>
      </c>
      <c r="H85" s="9">
        <v>96</v>
      </c>
      <c r="I85" s="9">
        <v>83</v>
      </c>
      <c r="K85" s="9">
        <f t="shared" si="12"/>
        <v>0</v>
      </c>
      <c r="L85" s="9">
        <f t="shared" si="13"/>
        <v>0</v>
      </c>
      <c r="M85" s="9" t="s">
        <v>216</v>
      </c>
      <c r="N85" s="9" t="s">
        <v>217</v>
      </c>
      <c r="O85" s="9" t="s">
        <v>27</v>
      </c>
      <c r="P85" s="10">
        <v>0.8</v>
      </c>
      <c r="Q85" s="11">
        <v>37.67</v>
      </c>
      <c r="R85" s="12">
        <f t="shared" si="14"/>
        <v>0</v>
      </c>
      <c r="S85" s="12">
        <f t="shared" si="15"/>
        <v>0</v>
      </c>
      <c r="T85" s="9" t="s">
        <v>624</v>
      </c>
    </row>
    <row r="86" spans="1:20" ht="12.75" customHeight="1" x14ac:dyDescent="0.2">
      <c r="A86" s="8">
        <v>50501003110006</v>
      </c>
      <c r="B86" s="9" t="s">
        <v>20</v>
      </c>
      <c r="C86" s="9" t="s">
        <v>21</v>
      </c>
      <c r="D86" s="9" t="s">
        <v>218</v>
      </c>
      <c r="E86" s="9" t="s">
        <v>23</v>
      </c>
      <c r="F86" s="9" t="s">
        <v>93</v>
      </c>
      <c r="H86" s="9">
        <v>46</v>
      </c>
      <c r="I86" s="9">
        <v>39</v>
      </c>
      <c r="K86" s="9">
        <f t="shared" si="12"/>
        <v>0</v>
      </c>
      <c r="L86" s="9">
        <f t="shared" si="13"/>
        <v>0</v>
      </c>
      <c r="M86" s="9" t="s">
        <v>219</v>
      </c>
      <c r="N86" s="9" t="s">
        <v>220</v>
      </c>
      <c r="O86" s="9" t="s">
        <v>166</v>
      </c>
      <c r="P86" s="10">
        <v>4.7E-2</v>
      </c>
      <c r="Q86" s="11">
        <v>7.92</v>
      </c>
      <c r="R86" s="12">
        <f t="shared" si="14"/>
        <v>0</v>
      </c>
      <c r="S86" s="12">
        <f t="shared" si="15"/>
        <v>0</v>
      </c>
      <c r="T86" s="9" t="s">
        <v>625</v>
      </c>
    </row>
    <row r="87" spans="1:20" ht="12.75" customHeight="1" x14ac:dyDescent="0.2">
      <c r="A87" s="8" t="s">
        <v>221</v>
      </c>
      <c r="B87" s="9" t="s">
        <v>20</v>
      </c>
      <c r="C87" s="9" t="s">
        <v>21</v>
      </c>
      <c r="D87" s="9" t="s">
        <v>218</v>
      </c>
      <c r="E87" s="9" t="s">
        <v>23</v>
      </c>
      <c r="F87" s="9" t="s">
        <v>28</v>
      </c>
      <c r="H87" s="9">
        <v>47</v>
      </c>
      <c r="I87" s="9">
        <v>40</v>
      </c>
      <c r="K87" s="9">
        <f t="shared" si="12"/>
        <v>0</v>
      </c>
      <c r="L87" s="9">
        <f t="shared" si="13"/>
        <v>0</v>
      </c>
      <c r="M87" s="9" t="s">
        <v>222</v>
      </c>
      <c r="N87" s="9" t="s">
        <v>223</v>
      </c>
      <c r="O87" s="9" t="s">
        <v>166</v>
      </c>
      <c r="P87" s="10">
        <v>5.1999999999999998E-2</v>
      </c>
      <c r="Q87" s="11">
        <v>7.8319999999999999</v>
      </c>
      <c r="R87" s="12">
        <f t="shared" si="14"/>
        <v>0</v>
      </c>
      <c r="S87" s="12">
        <f t="shared" si="15"/>
        <v>0</v>
      </c>
      <c r="T87" s="9" t="s">
        <v>626</v>
      </c>
    </row>
    <row r="88" spans="1:20" ht="12.75" customHeight="1" x14ac:dyDescent="0.2">
      <c r="A88" s="8">
        <v>50501003110002</v>
      </c>
      <c r="B88" s="9" t="s">
        <v>20</v>
      </c>
      <c r="C88" s="9" t="s">
        <v>21</v>
      </c>
      <c r="D88" s="9" t="s">
        <v>218</v>
      </c>
      <c r="E88" s="9" t="s">
        <v>23</v>
      </c>
      <c r="F88" s="9" t="s">
        <v>32</v>
      </c>
      <c r="H88" s="9">
        <v>51</v>
      </c>
      <c r="I88" s="9">
        <v>44</v>
      </c>
      <c r="K88" s="9">
        <f t="shared" si="12"/>
        <v>0</v>
      </c>
      <c r="L88" s="9">
        <f t="shared" si="13"/>
        <v>0</v>
      </c>
      <c r="M88" s="9" t="s">
        <v>224</v>
      </c>
      <c r="N88" s="9" t="s">
        <v>225</v>
      </c>
      <c r="O88" s="9" t="s">
        <v>166</v>
      </c>
      <c r="P88" s="10">
        <v>5.7000000000000002E-2</v>
      </c>
      <c r="Q88" s="11">
        <v>9.7219999999999995</v>
      </c>
      <c r="R88" s="12">
        <f t="shared" si="14"/>
        <v>0</v>
      </c>
      <c r="S88" s="12">
        <f t="shared" si="15"/>
        <v>0</v>
      </c>
      <c r="T88" s="9" t="s">
        <v>627</v>
      </c>
    </row>
    <row r="89" spans="1:20" ht="12.75" customHeight="1" x14ac:dyDescent="0.2">
      <c r="A89" s="8">
        <v>50501003110003</v>
      </c>
      <c r="B89" s="9" t="s">
        <v>20</v>
      </c>
      <c r="C89" s="9" t="s">
        <v>21</v>
      </c>
      <c r="D89" s="9" t="s">
        <v>218</v>
      </c>
      <c r="E89" s="9" t="s">
        <v>23</v>
      </c>
      <c r="F89" s="9" t="s">
        <v>35</v>
      </c>
      <c r="H89" s="9">
        <v>58</v>
      </c>
      <c r="I89" s="9">
        <v>50</v>
      </c>
      <c r="K89" s="9">
        <f t="shared" si="12"/>
        <v>0</v>
      </c>
      <c r="L89" s="9">
        <f t="shared" si="13"/>
        <v>0</v>
      </c>
      <c r="M89" s="9" t="s">
        <v>226</v>
      </c>
      <c r="N89" s="9" t="s">
        <v>227</v>
      </c>
      <c r="O89" s="9" t="s">
        <v>166</v>
      </c>
      <c r="P89" s="10">
        <v>6.8000000000000005E-2</v>
      </c>
      <c r="Q89" s="11">
        <v>11.576000000000001</v>
      </c>
      <c r="R89" s="12">
        <f t="shared" si="14"/>
        <v>0</v>
      </c>
      <c r="S89" s="12">
        <f t="shared" si="15"/>
        <v>0</v>
      </c>
      <c r="T89" s="9" t="s">
        <v>628</v>
      </c>
    </row>
    <row r="90" spans="1:20" ht="12.75" customHeight="1" x14ac:dyDescent="0.2">
      <c r="A90" s="8">
        <v>50501000003860</v>
      </c>
      <c r="B90" s="9" t="s">
        <v>20</v>
      </c>
      <c r="C90" s="9" t="s">
        <v>21</v>
      </c>
      <c r="D90" s="9" t="s">
        <v>228</v>
      </c>
      <c r="E90" s="9" t="s">
        <v>23</v>
      </c>
      <c r="F90" s="9" t="s">
        <v>28</v>
      </c>
      <c r="G90" s="9">
        <v>30</v>
      </c>
      <c r="H90" s="9">
        <v>160</v>
      </c>
      <c r="I90" s="9">
        <v>138</v>
      </c>
      <c r="K90" s="9">
        <f t="shared" si="12"/>
        <v>0</v>
      </c>
      <c r="L90" s="9">
        <f t="shared" si="13"/>
        <v>0</v>
      </c>
      <c r="M90" s="9" t="s">
        <v>229</v>
      </c>
      <c r="N90" s="9" t="s">
        <v>230</v>
      </c>
      <c r="O90" s="9" t="s">
        <v>27</v>
      </c>
      <c r="P90" s="10">
        <v>0.54</v>
      </c>
      <c r="Q90" s="11">
        <v>22.609000000000002</v>
      </c>
      <c r="R90" s="12">
        <f t="shared" si="14"/>
        <v>0</v>
      </c>
      <c r="S90" s="12">
        <f t="shared" si="15"/>
        <v>0</v>
      </c>
      <c r="T90" s="9" t="s">
        <v>629</v>
      </c>
    </row>
    <row r="91" spans="1:20" ht="12.75" customHeight="1" x14ac:dyDescent="0.2">
      <c r="A91" s="8">
        <v>50501000003861</v>
      </c>
      <c r="B91" s="9" t="s">
        <v>20</v>
      </c>
      <c r="C91" s="9" t="s">
        <v>21</v>
      </c>
      <c r="D91" s="9" t="s">
        <v>228</v>
      </c>
      <c r="E91" s="9" t="s">
        <v>23</v>
      </c>
      <c r="F91" s="9" t="s">
        <v>32</v>
      </c>
      <c r="G91" s="9">
        <v>30</v>
      </c>
      <c r="H91" s="9">
        <v>189</v>
      </c>
      <c r="I91" s="9">
        <v>163</v>
      </c>
      <c r="K91" s="9">
        <f t="shared" si="12"/>
        <v>0</v>
      </c>
      <c r="L91" s="9">
        <f t="shared" si="13"/>
        <v>0</v>
      </c>
      <c r="M91" s="9" t="s">
        <v>231</v>
      </c>
      <c r="N91" s="9" t="s">
        <v>232</v>
      </c>
      <c r="O91" s="9" t="s">
        <v>27</v>
      </c>
      <c r="P91" s="10">
        <v>0.6</v>
      </c>
      <c r="Q91" s="11">
        <v>25.206</v>
      </c>
      <c r="R91" s="12">
        <f t="shared" si="14"/>
        <v>0</v>
      </c>
      <c r="S91" s="12">
        <f t="shared" si="15"/>
        <v>0</v>
      </c>
      <c r="T91" s="9" t="s">
        <v>630</v>
      </c>
    </row>
    <row r="92" spans="1:20" ht="12.75" customHeight="1" x14ac:dyDescent="0.2">
      <c r="A92" s="8">
        <v>50501000003862</v>
      </c>
      <c r="B92" s="9" t="s">
        <v>20</v>
      </c>
      <c r="C92" s="9" t="s">
        <v>21</v>
      </c>
      <c r="D92" s="9" t="s">
        <v>228</v>
      </c>
      <c r="E92" s="9" t="s">
        <v>31</v>
      </c>
      <c r="F92" s="9" t="s">
        <v>35</v>
      </c>
      <c r="G92" s="9">
        <v>30</v>
      </c>
      <c r="H92" s="9">
        <v>222</v>
      </c>
      <c r="I92" s="9">
        <v>191</v>
      </c>
      <c r="K92" s="9">
        <f t="shared" si="12"/>
        <v>0</v>
      </c>
      <c r="L92" s="9">
        <f t="shared" si="13"/>
        <v>0</v>
      </c>
      <c r="M92" s="9" t="s">
        <v>233</v>
      </c>
      <c r="N92" s="9" t="s">
        <v>234</v>
      </c>
      <c r="O92" s="9" t="s">
        <v>27</v>
      </c>
      <c r="P92" s="10">
        <v>0.72</v>
      </c>
      <c r="Q92" s="11">
        <v>29.899000000000001</v>
      </c>
      <c r="R92" s="12">
        <f t="shared" si="14"/>
        <v>0</v>
      </c>
      <c r="S92" s="12">
        <f t="shared" si="15"/>
        <v>0</v>
      </c>
      <c r="T92" s="9" t="s">
        <v>631</v>
      </c>
    </row>
    <row r="93" spans="1:20" ht="12.75" customHeight="1" x14ac:dyDescent="0.2">
      <c r="A93" s="8">
        <v>50501000003864</v>
      </c>
      <c r="B93" s="9" t="s">
        <v>20</v>
      </c>
      <c r="C93" s="9" t="s">
        <v>21</v>
      </c>
      <c r="D93" s="9" t="s">
        <v>228</v>
      </c>
      <c r="E93" s="9" t="s">
        <v>23</v>
      </c>
      <c r="F93" s="9" t="s">
        <v>41</v>
      </c>
      <c r="G93" s="9">
        <v>30</v>
      </c>
      <c r="H93" s="9">
        <v>259</v>
      </c>
      <c r="I93" s="9">
        <v>223</v>
      </c>
      <c r="K93" s="9">
        <f t="shared" si="12"/>
        <v>0</v>
      </c>
      <c r="L93" s="9">
        <f t="shared" si="13"/>
        <v>0</v>
      </c>
      <c r="M93" s="9" t="s">
        <v>235</v>
      </c>
      <c r="N93" s="9" t="s">
        <v>236</v>
      </c>
      <c r="O93" s="9" t="s">
        <v>27</v>
      </c>
      <c r="P93" s="10">
        <v>0.84</v>
      </c>
      <c r="Q93" s="11">
        <v>34.600999999999999</v>
      </c>
      <c r="R93" s="12">
        <f t="shared" si="14"/>
        <v>0</v>
      </c>
      <c r="S93" s="12">
        <f t="shared" si="15"/>
        <v>0</v>
      </c>
      <c r="T93" s="9" t="s">
        <v>632</v>
      </c>
    </row>
    <row r="94" spans="1:20" ht="12.75" customHeight="1" x14ac:dyDescent="0.2">
      <c r="A94" s="8">
        <v>50501000003865</v>
      </c>
      <c r="B94" s="9" t="s">
        <v>20</v>
      </c>
      <c r="C94" s="9" t="s">
        <v>21</v>
      </c>
      <c r="D94" s="9" t="s">
        <v>228</v>
      </c>
      <c r="E94" s="9" t="s">
        <v>31</v>
      </c>
      <c r="F94" s="9" t="s">
        <v>44</v>
      </c>
      <c r="G94" s="9">
        <v>30</v>
      </c>
      <c r="H94" s="9">
        <v>276</v>
      </c>
      <c r="I94" s="9">
        <v>238</v>
      </c>
      <c r="K94" s="9">
        <f t="shared" si="12"/>
        <v>0</v>
      </c>
      <c r="L94" s="9">
        <f t="shared" si="13"/>
        <v>0</v>
      </c>
      <c r="M94" s="9" t="s">
        <v>237</v>
      </c>
      <c r="N94" s="9" t="s">
        <v>238</v>
      </c>
      <c r="O94" s="9" t="s">
        <v>27</v>
      </c>
      <c r="P94" s="10">
        <v>0.9</v>
      </c>
      <c r="Q94" s="11">
        <v>37.174999999999997</v>
      </c>
      <c r="R94" s="12">
        <f t="shared" si="14"/>
        <v>0</v>
      </c>
      <c r="S94" s="12">
        <f t="shared" si="15"/>
        <v>0</v>
      </c>
      <c r="T94" s="9" t="s">
        <v>633</v>
      </c>
    </row>
    <row r="95" spans="1:20" ht="12.75" customHeight="1" x14ac:dyDescent="0.2">
      <c r="A95" s="8">
        <v>50501000003866</v>
      </c>
      <c r="B95" s="9" t="s">
        <v>20</v>
      </c>
      <c r="C95" s="9" t="s">
        <v>21</v>
      </c>
      <c r="D95" s="9" t="s">
        <v>228</v>
      </c>
      <c r="E95" s="9" t="s">
        <v>31</v>
      </c>
      <c r="F95" s="9" t="s">
        <v>47</v>
      </c>
      <c r="G95" s="9">
        <v>30</v>
      </c>
      <c r="H95" s="9">
        <v>308</v>
      </c>
      <c r="I95" s="9">
        <v>266</v>
      </c>
      <c r="K95" s="9">
        <f t="shared" si="12"/>
        <v>0</v>
      </c>
      <c r="L95" s="9">
        <f t="shared" si="13"/>
        <v>0</v>
      </c>
      <c r="M95" s="9" t="s">
        <v>239</v>
      </c>
      <c r="N95" s="9" t="s">
        <v>240</v>
      </c>
      <c r="O95" s="9" t="s">
        <v>27</v>
      </c>
      <c r="P95" s="10">
        <v>0.96</v>
      </c>
      <c r="Q95" s="11">
        <v>39.545000000000002</v>
      </c>
      <c r="R95" s="12">
        <f t="shared" si="14"/>
        <v>0</v>
      </c>
      <c r="S95" s="12">
        <f t="shared" si="15"/>
        <v>0</v>
      </c>
      <c r="T95" s="9" t="s">
        <v>634</v>
      </c>
    </row>
    <row r="96" spans="1:20" ht="12.75" customHeight="1" x14ac:dyDescent="0.2">
      <c r="A96" s="8">
        <v>50501000003867</v>
      </c>
      <c r="B96" s="9" t="s">
        <v>20</v>
      </c>
      <c r="C96" s="9" t="s">
        <v>21</v>
      </c>
      <c r="D96" s="9" t="s">
        <v>228</v>
      </c>
      <c r="E96" s="9" t="s">
        <v>31</v>
      </c>
      <c r="F96" s="9" t="s">
        <v>67</v>
      </c>
      <c r="G96" s="9">
        <v>30</v>
      </c>
      <c r="H96" s="9">
        <v>327</v>
      </c>
      <c r="I96" s="9">
        <v>282</v>
      </c>
      <c r="K96" s="9">
        <f t="shared" si="12"/>
        <v>0</v>
      </c>
      <c r="L96" s="9">
        <f t="shared" si="13"/>
        <v>0</v>
      </c>
      <c r="M96" s="9" t="s">
        <v>241</v>
      </c>
      <c r="N96" s="9" t="s">
        <v>242</v>
      </c>
      <c r="O96" s="9" t="s">
        <v>27</v>
      </c>
      <c r="P96" s="10">
        <v>1.08</v>
      </c>
      <c r="Q96" s="11">
        <v>44.220999999999997</v>
      </c>
      <c r="R96" s="12">
        <f t="shared" si="14"/>
        <v>0</v>
      </c>
      <c r="S96" s="12">
        <f t="shared" si="15"/>
        <v>0</v>
      </c>
      <c r="T96" s="9" t="s">
        <v>635</v>
      </c>
    </row>
    <row r="97" spans="1:20" ht="12.75" customHeight="1" x14ac:dyDescent="0.2">
      <c r="A97" s="8">
        <v>50501003020001</v>
      </c>
      <c r="B97" s="9" t="s">
        <v>20</v>
      </c>
      <c r="C97" s="9" t="s">
        <v>21</v>
      </c>
      <c r="D97" s="9" t="s">
        <v>243</v>
      </c>
      <c r="E97" s="9" t="s">
        <v>31</v>
      </c>
      <c r="F97" s="9" t="s">
        <v>24</v>
      </c>
      <c r="G97" s="9">
        <v>27</v>
      </c>
      <c r="H97" s="9">
        <v>116</v>
      </c>
      <c r="I97" s="9">
        <v>100</v>
      </c>
      <c r="K97" s="9">
        <f t="shared" si="12"/>
        <v>0</v>
      </c>
      <c r="L97" s="9">
        <f t="shared" si="13"/>
        <v>0</v>
      </c>
      <c r="M97" s="9" t="s">
        <v>244</v>
      </c>
      <c r="N97" s="9" t="s">
        <v>245</v>
      </c>
      <c r="O97" s="9" t="s">
        <v>27</v>
      </c>
      <c r="P97" s="10">
        <v>0.46200000000000002</v>
      </c>
      <c r="Q97" s="11">
        <v>21.085999999999999</v>
      </c>
      <c r="R97" s="12">
        <f t="shared" si="14"/>
        <v>0</v>
      </c>
      <c r="S97" s="12">
        <f t="shared" si="15"/>
        <v>0</v>
      </c>
      <c r="T97" s="9" t="s">
        <v>636</v>
      </c>
    </row>
    <row r="98" spans="1:20" ht="12.75" customHeight="1" x14ac:dyDescent="0.2">
      <c r="A98" s="8">
        <v>50501003020002</v>
      </c>
      <c r="B98" s="9" t="s">
        <v>20</v>
      </c>
      <c r="C98" s="9" t="s">
        <v>21</v>
      </c>
      <c r="D98" s="9" t="s">
        <v>243</v>
      </c>
      <c r="E98" s="9" t="s">
        <v>31</v>
      </c>
      <c r="F98" s="9" t="s">
        <v>28</v>
      </c>
      <c r="G98" s="9">
        <v>27</v>
      </c>
      <c r="H98" s="9">
        <v>117</v>
      </c>
      <c r="I98" s="9">
        <v>101</v>
      </c>
      <c r="K98" s="9">
        <f t="shared" si="12"/>
        <v>0</v>
      </c>
      <c r="L98" s="9">
        <f t="shared" si="13"/>
        <v>0</v>
      </c>
      <c r="M98" s="9" t="s">
        <v>246</v>
      </c>
      <c r="N98" s="9" t="s">
        <v>247</v>
      </c>
      <c r="O98" s="9" t="s">
        <v>27</v>
      </c>
      <c r="P98" s="10">
        <v>0.48599999999999999</v>
      </c>
      <c r="Q98" s="11">
        <v>22.158000000000001</v>
      </c>
      <c r="R98" s="12">
        <f t="shared" si="14"/>
        <v>0</v>
      </c>
      <c r="S98" s="12">
        <f t="shared" si="15"/>
        <v>0</v>
      </c>
      <c r="T98" s="9" t="s">
        <v>637</v>
      </c>
    </row>
    <row r="99" spans="1:20" ht="12.75" customHeight="1" x14ac:dyDescent="0.2">
      <c r="A99" s="8">
        <v>50501003020003</v>
      </c>
      <c r="B99" s="9" t="s">
        <v>20</v>
      </c>
      <c r="C99" s="9" t="s">
        <v>21</v>
      </c>
      <c r="D99" s="9" t="s">
        <v>243</v>
      </c>
      <c r="E99" s="9" t="s">
        <v>31</v>
      </c>
      <c r="F99" s="9" t="s">
        <v>32</v>
      </c>
      <c r="G99" s="9">
        <v>27</v>
      </c>
      <c r="H99" s="9">
        <v>122</v>
      </c>
      <c r="I99" s="9">
        <v>105</v>
      </c>
      <c r="K99" s="9">
        <f t="shared" si="12"/>
        <v>0</v>
      </c>
      <c r="L99" s="9">
        <f t="shared" si="13"/>
        <v>0</v>
      </c>
      <c r="M99" s="9" t="s">
        <v>248</v>
      </c>
      <c r="N99" s="9" t="s">
        <v>249</v>
      </c>
      <c r="O99" s="9" t="s">
        <v>27</v>
      </c>
      <c r="P99" s="10">
        <v>0.54</v>
      </c>
      <c r="Q99" s="11">
        <v>24.088000000000001</v>
      </c>
      <c r="R99" s="12">
        <f t="shared" si="14"/>
        <v>0</v>
      </c>
      <c r="S99" s="12">
        <f t="shared" si="15"/>
        <v>0</v>
      </c>
      <c r="T99" s="9" t="s">
        <v>638</v>
      </c>
    </row>
    <row r="100" spans="1:20" ht="12.75" customHeight="1" x14ac:dyDescent="0.2">
      <c r="A100" s="8">
        <v>50501003020004</v>
      </c>
      <c r="B100" s="9" t="s">
        <v>20</v>
      </c>
      <c r="C100" s="9" t="s">
        <v>21</v>
      </c>
      <c r="D100" s="9" t="s">
        <v>243</v>
      </c>
      <c r="E100" s="9" t="s">
        <v>31</v>
      </c>
      <c r="F100" s="9" t="s">
        <v>35</v>
      </c>
      <c r="G100" s="9">
        <v>27</v>
      </c>
      <c r="H100" s="9">
        <v>140</v>
      </c>
      <c r="I100" s="9">
        <v>121</v>
      </c>
      <c r="K100" s="9">
        <f t="shared" si="12"/>
        <v>0</v>
      </c>
      <c r="L100" s="9">
        <f t="shared" si="13"/>
        <v>0</v>
      </c>
      <c r="M100" s="9" t="s">
        <v>250</v>
      </c>
      <c r="N100" s="9" t="s">
        <v>251</v>
      </c>
      <c r="O100" s="9" t="s">
        <v>27</v>
      </c>
      <c r="P100" s="10">
        <v>0.64800000000000002</v>
      </c>
      <c r="Q100" s="11">
        <v>28.617999999999999</v>
      </c>
      <c r="R100" s="12">
        <f t="shared" si="14"/>
        <v>0</v>
      </c>
      <c r="S100" s="12">
        <f t="shared" si="15"/>
        <v>0</v>
      </c>
      <c r="T100" s="9" t="s">
        <v>639</v>
      </c>
    </row>
    <row r="101" spans="1:20" ht="12.75" customHeight="1" x14ac:dyDescent="0.2">
      <c r="A101" s="8">
        <v>50501003020005</v>
      </c>
      <c r="B101" s="9" t="s">
        <v>20</v>
      </c>
      <c r="C101" s="9" t="s">
        <v>21</v>
      </c>
      <c r="D101" s="9" t="s">
        <v>243</v>
      </c>
      <c r="E101" s="9" t="s">
        <v>31</v>
      </c>
      <c r="F101" s="9" t="s">
        <v>38</v>
      </c>
      <c r="G101" s="9">
        <v>27</v>
      </c>
      <c r="H101" s="9">
        <v>151</v>
      </c>
      <c r="I101" s="9">
        <v>130</v>
      </c>
      <c r="K101" s="9">
        <f t="shared" si="12"/>
        <v>0</v>
      </c>
      <c r="L101" s="9">
        <f t="shared" si="13"/>
        <v>0</v>
      </c>
      <c r="M101" s="9" t="s">
        <v>252</v>
      </c>
      <c r="N101" s="9" t="s">
        <v>253</v>
      </c>
      <c r="O101" s="9" t="s">
        <v>27</v>
      </c>
      <c r="P101" s="10">
        <v>0.71799999999999997</v>
      </c>
      <c r="Q101" s="11">
        <v>32.079000000000001</v>
      </c>
      <c r="R101" s="12">
        <f t="shared" si="14"/>
        <v>0</v>
      </c>
      <c r="S101" s="12">
        <f t="shared" si="15"/>
        <v>0</v>
      </c>
      <c r="T101" s="9" t="s">
        <v>640</v>
      </c>
    </row>
    <row r="102" spans="1:20" ht="12.75" customHeight="1" x14ac:dyDescent="0.2">
      <c r="A102" s="8">
        <v>50501003020006</v>
      </c>
      <c r="B102" s="9" t="s">
        <v>20</v>
      </c>
      <c r="C102" s="9" t="s">
        <v>21</v>
      </c>
      <c r="D102" s="9" t="s">
        <v>243</v>
      </c>
      <c r="E102" s="9" t="s">
        <v>31</v>
      </c>
      <c r="F102" s="9" t="s">
        <v>41</v>
      </c>
      <c r="G102" s="9">
        <v>27</v>
      </c>
      <c r="H102" s="9">
        <v>151</v>
      </c>
      <c r="I102" s="9">
        <v>131</v>
      </c>
      <c r="K102" s="9">
        <f t="shared" ref="K102:K133" si="16">H102*J102</f>
        <v>0</v>
      </c>
      <c r="L102" s="9">
        <f t="shared" ref="L102:L134" si="17">J102*I102</f>
        <v>0</v>
      </c>
      <c r="M102" s="9" t="s">
        <v>254</v>
      </c>
      <c r="N102" s="9" t="s">
        <v>255</v>
      </c>
      <c r="O102" s="9" t="s">
        <v>27</v>
      </c>
      <c r="P102" s="10">
        <v>0.75600000000000001</v>
      </c>
      <c r="Q102" s="11">
        <v>33.354999999999997</v>
      </c>
      <c r="R102" s="12">
        <f t="shared" ref="R102:R134" si="18">P102*J102</f>
        <v>0</v>
      </c>
      <c r="S102" s="12">
        <f t="shared" ref="S102:S134" si="19">Q102*J102</f>
        <v>0</v>
      </c>
      <c r="T102" s="9" t="s">
        <v>641</v>
      </c>
    </row>
    <row r="103" spans="1:20" ht="12.75" customHeight="1" x14ac:dyDescent="0.2">
      <c r="A103" s="8">
        <v>50501003020007</v>
      </c>
      <c r="B103" s="9" t="s">
        <v>20</v>
      </c>
      <c r="C103" s="9" t="s">
        <v>21</v>
      </c>
      <c r="D103" s="9" t="s">
        <v>243</v>
      </c>
      <c r="E103" s="9" t="s">
        <v>31</v>
      </c>
      <c r="F103" s="9" t="s">
        <v>44</v>
      </c>
      <c r="G103" s="9">
        <v>27</v>
      </c>
      <c r="H103" s="9">
        <v>169</v>
      </c>
      <c r="I103" s="9">
        <v>145</v>
      </c>
      <c r="K103" s="9">
        <f t="shared" si="16"/>
        <v>0</v>
      </c>
      <c r="L103" s="9">
        <f t="shared" si="17"/>
        <v>0</v>
      </c>
      <c r="M103" s="9" t="s">
        <v>256</v>
      </c>
      <c r="N103" s="9" t="s">
        <v>257</v>
      </c>
      <c r="O103" s="9" t="s">
        <v>27</v>
      </c>
      <c r="P103" s="10">
        <v>0.81</v>
      </c>
      <c r="Q103" s="11">
        <v>35.737000000000002</v>
      </c>
      <c r="R103" s="12">
        <f t="shared" si="18"/>
        <v>0</v>
      </c>
      <c r="S103" s="12">
        <f t="shared" si="19"/>
        <v>0</v>
      </c>
      <c r="T103" s="9" t="s">
        <v>642</v>
      </c>
    </row>
    <row r="104" spans="1:20" ht="12.75" customHeight="1" x14ac:dyDescent="0.2">
      <c r="A104" s="8">
        <v>50501003020008</v>
      </c>
      <c r="B104" s="9" t="s">
        <v>20</v>
      </c>
      <c r="C104" s="9" t="s">
        <v>21</v>
      </c>
      <c r="D104" s="9" t="s">
        <v>243</v>
      </c>
      <c r="E104" s="9" t="s">
        <v>31</v>
      </c>
      <c r="F104" s="9" t="s">
        <v>47</v>
      </c>
      <c r="G104" s="9">
        <v>27</v>
      </c>
      <c r="H104" s="9">
        <v>177</v>
      </c>
      <c r="I104" s="9">
        <v>153</v>
      </c>
      <c r="K104" s="9">
        <f t="shared" si="16"/>
        <v>0</v>
      </c>
      <c r="L104" s="9">
        <f t="shared" si="17"/>
        <v>0</v>
      </c>
      <c r="M104" s="9" t="s">
        <v>258</v>
      </c>
      <c r="N104" s="9" t="s">
        <v>259</v>
      </c>
      <c r="O104" s="9" t="s">
        <v>27</v>
      </c>
      <c r="P104" s="10">
        <v>0.86399999999999999</v>
      </c>
      <c r="Q104" s="11">
        <v>38.365000000000002</v>
      </c>
      <c r="R104" s="12">
        <f t="shared" si="18"/>
        <v>0</v>
      </c>
      <c r="S104" s="12">
        <f t="shared" si="19"/>
        <v>0</v>
      </c>
      <c r="T104" s="9" t="s">
        <v>643</v>
      </c>
    </row>
    <row r="105" spans="1:20" ht="12.75" customHeight="1" x14ac:dyDescent="0.2">
      <c r="A105" s="8">
        <v>50501003020009</v>
      </c>
      <c r="B105" s="9" t="s">
        <v>20</v>
      </c>
      <c r="C105" s="9" t="s">
        <v>21</v>
      </c>
      <c r="D105" s="9" t="s">
        <v>243</v>
      </c>
      <c r="E105" s="9" t="s">
        <v>31</v>
      </c>
      <c r="F105" s="9" t="s">
        <v>67</v>
      </c>
      <c r="G105" s="9">
        <v>27</v>
      </c>
      <c r="H105" s="9">
        <v>196</v>
      </c>
      <c r="I105" s="9">
        <v>169</v>
      </c>
      <c r="K105" s="9">
        <f t="shared" si="16"/>
        <v>0</v>
      </c>
      <c r="L105" s="9">
        <f t="shared" si="17"/>
        <v>0</v>
      </c>
      <c r="M105" s="9" t="s">
        <v>260</v>
      </c>
      <c r="N105" s="9" t="s">
        <v>261</v>
      </c>
      <c r="O105" s="9" t="s">
        <v>27</v>
      </c>
      <c r="P105" s="10">
        <v>0.97199999999999998</v>
      </c>
      <c r="Q105" s="11">
        <v>40.567999999999998</v>
      </c>
      <c r="R105" s="12">
        <f t="shared" si="18"/>
        <v>0</v>
      </c>
      <c r="S105" s="12">
        <f t="shared" si="19"/>
        <v>0</v>
      </c>
      <c r="T105" s="9" t="s">
        <v>644</v>
      </c>
    </row>
    <row r="106" spans="1:20" ht="12.75" customHeight="1" x14ac:dyDescent="0.2">
      <c r="A106" s="8">
        <v>50501003020010</v>
      </c>
      <c r="B106" s="9" t="s">
        <v>20</v>
      </c>
      <c r="C106" s="9" t="s">
        <v>21</v>
      </c>
      <c r="D106" s="9" t="s">
        <v>243</v>
      </c>
      <c r="E106" s="9" t="s">
        <v>23</v>
      </c>
      <c r="F106" s="9" t="s">
        <v>89</v>
      </c>
      <c r="G106" s="9">
        <v>27</v>
      </c>
      <c r="H106" s="9">
        <v>217</v>
      </c>
      <c r="I106" s="9">
        <v>187</v>
      </c>
      <c r="K106" s="9">
        <f t="shared" si="16"/>
        <v>0</v>
      </c>
      <c r="L106" s="9">
        <f t="shared" si="17"/>
        <v>0</v>
      </c>
      <c r="M106" s="9" t="s">
        <v>262</v>
      </c>
      <c r="N106" s="9" t="s">
        <v>263</v>
      </c>
      <c r="O106" s="9" t="s">
        <v>27</v>
      </c>
      <c r="P106" s="10">
        <v>1.08</v>
      </c>
      <c r="Q106" s="11">
        <v>45.075000000000003</v>
      </c>
      <c r="R106" s="12">
        <f t="shared" si="18"/>
        <v>0</v>
      </c>
      <c r="S106" s="12">
        <f t="shared" si="19"/>
        <v>0</v>
      </c>
      <c r="T106" s="9" t="s">
        <v>645</v>
      </c>
    </row>
    <row r="107" spans="1:20" ht="12.75" customHeight="1" x14ac:dyDescent="0.2">
      <c r="A107" s="8">
        <v>50501000000165</v>
      </c>
      <c r="B107" s="9" t="s">
        <v>20</v>
      </c>
      <c r="C107" s="9" t="s">
        <v>21</v>
      </c>
      <c r="D107" s="9" t="s">
        <v>264</v>
      </c>
      <c r="E107" s="9" t="s">
        <v>23</v>
      </c>
      <c r="F107" s="9" t="s">
        <v>28</v>
      </c>
      <c r="H107" s="9">
        <v>169</v>
      </c>
      <c r="I107" s="9">
        <v>146</v>
      </c>
      <c r="K107" s="9">
        <f t="shared" si="16"/>
        <v>0</v>
      </c>
      <c r="L107" s="9">
        <f t="shared" si="17"/>
        <v>0</v>
      </c>
      <c r="M107" s="9" t="s">
        <v>265</v>
      </c>
      <c r="N107" s="9" t="s">
        <v>266</v>
      </c>
      <c r="O107" s="9" t="s">
        <v>27</v>
      </c>
      <c r="P107" s="10">
        <v>0.27</v>
      </c>
      <c r="Q107" s="11">
        <v>13.37</v>
      </c>
      <c r="R107" s="12">
        <f t="shared" si="18"/>
        <v>0</v>
      </c>
      <c r="S107" s="12">
        <f t="shared" si="19"/>
        <v>0</v>
      </c>
      <c r="T107" s="9" t="s">
        <v>646</v>
      </c>
    </row>
    <row r="108" spans="1:20" ht="12.75" customHeight="1" x14ac:dyDescent="0.2">
      <c r="A108" s="8">
        <v>50501000440001</v>
      </c>
      <c r="B108" s="9" t="s">
        <v>20</v>
      </c>
      <c r="C108" s="9" t="s">
        <v>21</v>
      </c>
      <c r="D108" s="9" t="s">
        <v>267</v>
      </c>
      <c r="E108" s="9" t="s">
        <v>31</v>
      </c>
      <c r="F108" s="9" t="s">
        <v>24</v>
      </c>
      <c r="G108" s="9">
        <v>29</v>
      </c>
      <c r="H108" s="9">
        <v>77</v>
      </c>
      <c r="I108" s="9">
        <v>66</v>
      </c>
      <c r="K108" s="9">
        <f t="shared" si="16"/>
        <v>0</v>
      </c>
      <c r="L108" s="9">
        <f t="shared" si="17"/>
        <v>0</v>
      </c>
      <c r="M108" s="9" t="s">
        <v>268</v>
      </c>
      <c r="N108" s="9" t="s">
        <v>269</v>
      </c>
      <c r="O108" s="9" t="s">
        <v>27</v>
      </c>
      <c r="P108" s="10">
        <v>0.496</v>
      </c>
      <c r="Q108" s="11">
        <v>18.739999999999998</v>
      </c>
      <c r="R108" s="12">
        <f t="shared" si="18"/>
        <v>0</v>
      </c>
      <c r="S108" s="12">
        <f t="shared" si="19"/>
        <v>0</v>
      </c>
      <c r="T108" s="9" t="s">
        <v>647</v>
      </c>
    </row>
    <row r="109" spans="1:20" ht="12.75" customHeight="1" x14ac:dyDescent="0.2">
      <c r="A109" s="8">
        <v>50501000440002</v>
      </c>
      <c r="B109" s="9" t="s">
        <v>20</v>
      </c>
      <c r="C109" s="9" t="s">
        <v>21</v>
      </c>
      <c r="D109" s="9" t="s">
        <v>267</v>
      </c>
      <c r="E109" s="9" t="s">
        <v>31</v>
      </c>
      <c r="F109" s="9" t="s">
        <v>28</v>
      </c>
      <c r="G109" s="9">
        <v>29</v>
      </c>
      <c r="H109" s="9">
        <v>77</v>
      </c>
      <c r="I109" s="9">
        <v>66</v>
      </c>
      <c r="K109" s="9">
        <f t="shared" si="16"/>
        <v>0</v>
      </c>
      <c r="L109" s="9">
        <f t="shared" si="17"/>
        <v>0</v>
      </c>
      <c r="M109" s="9" t="s">
        <v>270</v>
      </c>
      <c r="N109" s="9" t="s">
        <v>271</v>
      </c>
      <c r="O109" s="9" t="s">
        <v>27</v>
      </c>
      <c r="P109" s="10">
        <v>0.52200000000000002</v>
      </c>
      <c r="Q109" s="11">
        <v>20</v>
      </c>
      <c r="R109" s="12">
        <f t="shared" si="18"/>
        <v>0</v>
      </c>
      <c r="S109" s="12">
        <f t="shared" si="19"/>
        <v>0</v>
      </c>
      <c r="T109" s="9" t="s">
        <v>648</v>
      </c>
    </row>
    <row r="110" spans="1:20" ht="12.75" customHeight="1" x14ac:dyDescent="0.2">
      <c r="A110" s="8">
        <v>50501000440003</v>
      </c>
      <c r="B110" s="9" t="s">
        <v>20</v>
      </c>
      <c r="C110" s="9" t="s">
        <v>21</v>
      </c>
      <c r="D110" s="9" t="s">
        <v>267</v>
      </c>
      <c r="E110" s="9" t="s">
        <v>31</v>
      </c>
      <c r="F110" s="9" t="s">
        <v>32</v>
      </c>
      <c r="G110" s="9">
        <v>29</v>
      </c>
      <c r="H110" s="9">
        <v>81</v>
      </c>
      <c r="I110" s="9">
        <v>70</v>
      </c>
      <c r="K110" s="9">
        <f t="shared" si="16"/>
        <v>0</v>
      </c>
      <c r="L110" s="9">
        <f t="shared" si="17"/>
        <v>0</v>
      </c>
      <c r="M110" s="9" t="s">
        <v>272</v>
      </c>
      <c r="N110" s="9" t="s">
        <v>273</v>
      </c>
      <c r="O110" s="9" t="s">
        <v>27</v>
      </c>
      <c r="P110" s="10">
        <v>0.57999999999999996</v>
      </c>
      <c r="Q110" s="11">
        <v>21.27</v>
      </c>
      <c r="R110" s="12">
        <f t="shared" si="18"/>
        <v>0</v>
      </c>
      <c r="S110" s="12">
        <f t="shared" si="19"/>
        <v>0</v>
      </c>
      <c r="T110" s="9" t="s">
        <v>649</v>
      </c>
    </row>
    <row r="111" spans="1:20" ht="12.75" customHeight="1" x14ac:dyDescent="0.2">
      <c r="A111" s="8">
        <v>50501000440004</v>
      </c>
      <c r="B111" s="9" t="s">
        <v>20</v>
      </c>
      <c r="C111" s="9" t="s">
        <v>21</v>
      </c>
      <c r="D111" s="9" t="s">
        <v>267</v>
      </c>
      <c r="E111" s="9" t="s">
        <v>31</v>
      </c>
      <c r="F111" s="9" t="s">
        <v>35</v>
      </c>
      <c r="G111" s="9">
        <v>29</v>
      </c>
      <c r="H111" s="9">
        <v>93</v>
      </c>
      <c r="I111" s="9">
        <v>80</v>
      </c>
      <c r="K111" s="9">
        <f t="shared" si="16"/>
        <v>0</v>
      </c>
      <c r="L111" s="9">
        <f t="shared" si="17"/>
        <v>0</v>
      </c>
      <c r="M111" s="9" t="s">
        <v>274</v>
      </c>
      <c r="N111" s="9" t="s">
        <v>275</v>
      </c>
      <c r="O111" s="9" t="s">
        <v>27</v>
      </c>
      <c r="P111" s="10">
        <v>0.69599999999999995</v>
      </c>
      <c r="Q111" s="11">
        <v>25.38</v>
      </c>
      <c r="R111" s="12">
        <f t="shared" si="18"/>
        <v>0</v>
      </c>
      <c r="S111" s="12">
        <f t="shared" si="19"/>
        <v>0</v>
      </c>
      <c r="T111" s="9" t="s">
        <v>650</v>
      </c>
    </row>
    <row r="112" spans="1:20" ht="12.75" customHeight="1" x14ac:dyDescent="0.2">
      <c r="A112" s="8">
        <v>50501000440005</v>
      </c>
      <c r="B112" s="9" t="s">
        <v>20</v>
      </c>
      <c r="C112" s="9" t="s">
        <v>21</v>
      </c>
      <c r="D112" s="9" t="s">
        <v>267</v>
      </c>
      <c r="E112" s="9" t="s">
        <v>31</v>
      </c>
      <c r="F112" s="9" t="s">
        <v>38</v>
      </c>
      <c r="G112" s="9">
        <v>29</v>
      </c>
      <c r="H112" s="9">
        <v>104</v>
      </c>
      <c r="I112" s="9">
        <v>90</v>
      </c>
      <c r="K112" s="9">
        <f t="shared" si="16"/>
        <v>0</v>
      </c>
      <c r="L112" s="9">
        <f t="shared" si="17"/>
        <v>0</v>
      </c>
      <c r="M112" s="9" t="s">
        <v>276</v>
      </c>
      <c r="N112" s="9" t="s">
        <v>277</v>
      </c>
      <c r="O112" s="9" t="s">
        <v>27</v>
      </c>
      <c r="P112" s="10">
        <v>0.77200000000000002</v>
      </c>
      <c r="Q112" s="11">
        <v>28.33</v>
      </c>
      <c r="R112" s="12">
        <f t="shared" si="18"/>
        <v>0</v>
      </c>
      <c r="S112" s="12">
        <f t="shared" si="19"/>
        <v>0</v>
      </c>
      <c r="T112" s="9" t="s">
        <v>651</v>
      </c>
    </row>
    <row r="113" spans="1:20" ht="12.75" customHeight="1" x14ac:dyDescent="0.2">
      <c r="A113" s="8">
        <v>50501000440006</v>
      </c>
      <c r="B113" s="9" t="s">
        <v>20</v>
      </c>
      <c r="C113" s="9" t="s">
        <v>21</v>
      </c>
      <c r="D113" s="9" t="s">
        <v>267</v>
      </c>
      <c r="E113" s="9" t="s">
        <v>31</v>
      </c>
      <c r="F113" s="9" t="s">
        <v>41</v>
      </c>
      <c r="G113" s="9">
        <v>29</v>
      </c>
      <c r="H113" s="9">
        <v>104</v>
      </c>
      <c r="I113" s="9">
        <v>90</v>
      </c>
      <c r="K113" s="9">
        <f t="shared" si="16"/>
        <v>0</v>
      </c>
      <c r="L113" s="9">
        <f t="shared" si="17"/>
        <v>0</v>
      </c>
      <c r="M113" s="9" t="s">
        <v>278</v>
      </c>
      <c r="N113" s="9" t="s">
        <v>279</v>
      </c>
      <c r="O113" s="9" t="s">
        <v>27</v>
      </c>
      <c r="P113" s="10">
        <v>0.81200000000000006</v>
      </c>
      <c r="Q113" s="11">
        <v>29.87</v>
      </c>
      <c r="R113" s="12">
        <f t="shared" si="18"/>
        <v>0</v>
      </c>
      <c r="S113" s="12">
        <f t="shared" si="19"/>
        <v>0</v>
      </c>
      <c r="T113" s="9" t="s">
        <v>652</v>
      </c>
    </row>
    <row r="114" spans="1:20" ht="12.75" customHeight="1" x14ac:dyDescent="0.2">
      <c r="A114" s="8">
        <v>50501000440007</v>
      </c>
      <c r="B114" s="9" t="s">
        <v>20</v>
      </c>
      <c r="C114" s="9" t="s">
        <v>21</v>
      </c>
      <c r="D114" s="9" t="s">
        <v>267</v>
      </c>
      <c r="E114" s="9" t="s">
        <v>31</v>
      </c>
      <c r="F114" s="9" t="s">
        <v>44</v>
      </c>
      <c r="G114" s="9">
        <v>29</v>
      </c>
      <c r="H114" s="9">
        <v>110</v>
      </c>
      <c r="I114" s="9">
        <v>95</v>
      </c>
      <c r="K114" s="9">
        <f t="shared" si="16"/>
        <v>0</v>
      </c>
      <c r="L114" s="9">
        <f t="shared" si="17"/>
        <v>0</v>
      </c>
      <c r="M114" s="9" t="s">
        <v>280</v>
      </c>
      <c r="N114" s="9" t="s">
        <v>281</v>
      </c>
      <c r="O114" s="9" t="s">
        <v>27</v>
      </c>
      <c r="P114" s="10">
        <v>0.87</v>
      </c>
      <c r="Q114" s="11">
        <v>31.15</v>
      </c>
      <c r="R114" s="12">
        <f t="shared" si="18"/>
        <v>0</v>
      </c>
      <c r="S114" s="12">
        <f t="shared" si="19"/>
        <v>0</v>
      </c>
      <c r="T114" s="9" t="s">
        <v>653</v>
      </c>
    </row>
    <row r="115" spans="1:20" ht="12.75" customHeight="1" x14ac:dyDescent="0.2">
      <c r="A115" s="8">
        <v>50501000440008</v>
      </c>
      <c r="B115" s="9" t="s">
        <v>20</v>
      </c>
      <c r="C115" s="9" t="s">
        <v>21</v>
      </c>
      <c r="D115" s="9" t="s">
        <v>267</v>
      </c>
      <c r="E115" s="9" t="s">
        <v>31</v>
      </c>
      <c r="F115" s="9" t="s">
        <v>47</v>
      </c>
      <c r="G115" s="9">
        <v>29</v>
      </c>
      <c r="H115" s="9">
        <v>116</v>
      </c>
      <c r="I115" s="9">
        <v>100</v>
      </c>
      <c r="K115" s="9">
        <f t="shared" si="16"/>
        <v>0</v>
      </c>
      <c r="L115" s="9">
        <f t="shared" si="17"/>
        <v>0</v>
      </c>
      <c r="M115" s="9" t="s">
        <v>282</v>
      </c>
      <c r="N115" s="9" t="s">
        <v>283</v>
      </c>
      <c r="O115" s="9" t="s">
        <v>27</v>
      </c>
      <c r="P115" s="10">
        <v>0.92800000000000005</v>
      </c>
      <c r="Q115" s="11">
        <v>33.630000000000003</v>
      </c>
      <c r="R115" s="12">
        <f t="shared" si="18"/>
        <v>0</v>
      </c>
      <c r="S115" s="12">
        <f t="shared" si="19"/>
        <v>0</v>
      </c>
      <c r="T115" s="9" t="s">
        <v>654</v>
      </c>
    </row>
    <row r="116" spans="1:20" ht="12.75" customHeight="1" x14ac:dyDescent="0.2">
      <c r="A116" s="8">
        <v>50501000440009</v>
      </c>
      <c r="B116" s="9" t="s">
        <v>20</v>
      </c>
      <c r="C116" s="9" t="s">
        <v>21</v>
      </c>
      <c r="D116" s="9" t="s">
        <v>267</v>
      </c>
      <c r="E116" s="9" t="s">
        <v>31</v>
      </c>
      <c r="F116" s="9" t="s">
        <v>67</v>
      </c>
      <c r="G116" s="9">
        <v>29</v>
      </c>
      <c r="H116" s="9">
        <v>127</v>
      </c>
      <c r="I116" s="9">
        <v>110</v>
      </c>
      <c r="K116" s="9">
        <f t="shared" si="16"/>
        <v>0</v>
      </c>
      <c r="L116" s="9">
        <f t="shared" si="17"/>
        <v>0</v>
      </c>
      <c r="M116" s="9" t="s">
        <v>284</v>
      </c>
      <c r="N116" s="9" t="s">
        <v>285</v>
      </c>
      <c r="O116" s="9" t="s">
        <v>27</v>
      </c>
      <c r="P116" s="10">
        <v>1.044</v>
      </c>
      <c r="Q116" s="11">
        <v>37.270000000000003</v>
      </c>
      <c r="R116" s="12">
        <f t="shared" si="18"/>
        <v>0</v>
      </c>
      <c r="S116" s="12">
        <f t="shared" si="19"/>
        <v>0</v>
      </c>
      <c r="T116" s="9" t="s">
        <v>655</v>
      </c>
    </row>
    <row r="117" spans="1:20" ht="12.75" customHeight="1" x14ac:dyDescent="0.2">
      <c r="A117" s="8">
        <v>50501000003873</v>
      </c>
      <c r="B117" s="9" t="s">
        <v>20</v>
      </c>
      <c r="C117" s="9" t="s">
        <v>21</v>
      </c>
      <c r="D117" s="9" t="s">
        <v>286</v>
      </c>
      <c r="E117" s="9" t="s">
        <v>23</v>
      </c>
      <c r="F117" s="9" t="s">
        <v>44</v>
      </c>
      <c r="G117" s="9">
        <v>30</v>
      </c>
      <c r="H117" s="9">
        <v>437</v>
      </c>
      <c r="I117" s="9">
        <v>377</v>
      </c>
      <c r="K117" s="9">
        <f t="shared" si="16"/>
        <v>0</v>
      </c>
      <c r="L117" s="9">
        <f t="shared" si="17"/>
        <v>0</v>
      </c>
      <c r="M117" s="9" t="s">
        <v>287</v>
      </c>
      <c r="N117" s="9" t="s">
        <v>288</v>
      </c>
      <c r="O117" s="9" t="s">
        <v>27</v>
      </c>
      <c r="P117" s="10">
        <v>0.87</v>
      </c>
      <c r="Q117" s="11">
        <v>53.5</v>
      </c>
      <c r="R117" s="12">
        <f t="shared" si="18"/>
        <v>0</v>
      </c>
      <c r="S117" s="12">
        <f t="shared" si="19"/>
        <v>0</v>
      </c>
      <c r="T117" s="9" t="s">
        <v>656</v>
      </c>
    </row>
    <row r="118" spans="1:20" ht="12.75" customHeight="1" x14ac:dyDescent="0.2">
      <c r="A118" s="8">
        <v>50501000003874</v>
      </c>
      <c r="B118" s="9" t="s">
        <v>20</v>
      </c>
      <c r="C118" s="9" t="s">
        <v>21</v>
      </c>
      <c r="D118" s="9" t="s">
        <v>286</v>
      </c>
      <c r="E118" s="9" t="s">
        <v>31</v>
      </c>
      <c r="F118" s="9" t="s">
        <v>47</v>
      </c>
      <c r="G118" s="9">
        <v>30</v>
      </c>
      <c r="H118" s="9">
        <v>458</v>
      </c>
      <c r="I118" s="9">
        <v>395</v>
      </c>
      <c r="K118" s="9">
        <f t="shared" si="16"/>
        <v>0</v>
      </c>
      <c r="L118" s="9">
        <f t="shared" si="17"/>
        <v>0</v>
      </c>
      <c r="M118" s="9" t="s">
        <v>289</v>
      </c>
      <c r="N118" s="9" t="s">
        <v>290</v>
      </c>
      <c r="O118" s="9" t="s">
        <v>27</v>
      </c>
      <c r="P118" s="10">
        <v>0.92800000000000005</v>
      </c>
      <c r="Q118" s="11">
        <v>58.96</v>
      </c>
      <c r="R118" s="12">
        <f t="shared" si="18"/>
        <v>0</v>
      </c>
      <c r="S118" s="12">
        <f t="shared" si="19"/>
        <v>0</v>
      </c>
      <c r="T118" s="9" t="s">
        <v>657</v>
      </c>
    </row>
    <row r="119" spans="1:20" ht="12.75" customHeight="1" x14ac:dyDescent="0.2">
      <c r="A119" s="8">
        <v>50501000003875</v>
      </c>
      <c r="B119" s="9" t="s">
        <v>20</v>
      </c>
      <c r="C119" s="9" t="s">
        <v>21</v>
      </c>
      <c r="D119" s="9" t="s">
        <v>286</v>
      </c>
      <c r="E119" s="9" t="s">
        <v>31</v>
      </c>
      <c r="F119" s="9" t="s">
        <v>67</v>
      </c>
      <c r="G119" s="9">
        <v>30</v>
      </c>
      <c r="H119" s="9">
        <v>483</v>
      </c>
      <c r="I119" s="9">
        <v>416</v>
      </c>
      <c r="K119" s="9">
        <f t="shared" si="16"/>
        <v>0</v>
      </c>
      <c r="L119" s="9">
        <f t="shared" si="17"/>
        <v>0</v>
      </c>
      <c r="M119" s="9" t="s">
        <v>291</v>
      </c>
      <c r="N119" s="9" t="s">
        <v>292</v>
      </c>
      <c r="O119" s="9" t="s">
        <v>27</v>
      </c>
      <c r="P119" s="10">
        <v>1.04</v>
      </c>
      <c r="Q119" s="11">
        <v>64.91</v>
      </c>
      <c r="R119" s="12">
        <f t="shared" si="18"/>
        <v>0</v>
      </c>
      <c r="S119" s="12">
        <f t="shared" si="19"/>
        <v>0</v>
      </c>
      <c r="T119" s="9" t="s">
        <v>658</v>
      </c>
    </row>
    <row r="120" spans="1:20" ht="12.75" customHeight="1" x14ac:dyDescent="0.2">
      <c r="A120" s="8">
        <v>50501003310001</v>
      </c>
      <c r="B120" s="9" t="s">
        <v>20</v>
      </c>
      <c r="C120" s="9" t="s">
        <v>21</v>
      </c>
      <c r="D120" s="9" t="s">
        <v>293</v>
      </c>
      <c r="E120" s="9" t="s">
        <v>23</v>
      </c>
      <c r="F120" s="9" t="s">
        <v>24</v>
      </c>
      <c r="G120" s="9">
        <v>16</v>
      </c>
      <c r="H120" s="9">
        <v>99</v>
      </c>
      <c r="I120" s="9">
        <v>85</v>
      </c>
      <c r="K120" s="9">
        <f t="shared" si="16"/>
        <v>0</v>
      </c>
      <c r="L120" s="9">
        <f t="shared" si="17"/>
        <v>0</v>
      </c>
      <c r="M120" s="9" t="s">
        <v>294</v>
      </c>
      <c r="N120" s="9" t="s">
        <v>295</v>
      </c>
      <c r="O120" s="9" t="s">
        <v>166</v>
      </c>
      <c r="P120" s="10">
        <v>0.125</v>
      </c>
      <c r="Q120" s="11">
        <v>14.51</v>
      </c>
      <c r="R120" s="12">
        <f t="shared" si="18"/>
        <v>0</v>
      </c>
      <c r="S120" s="12">
        <f t="shared" si="19"/>
        <v>0</v>
      </c>
      <c r="T120" s="9" t="s">
        <v>659</v>
      </c>
    </row>
    <row r="121" spans="1:20" ht="12.75" customHeight="1" x14ac:dyDescent="0.2">
      <c r="A121" s="8">
        <v>50501003310002</v>
      </c>
      <c r="B121" s="9" t="s">
        <v>20</v>
      </c>
      <c r="C121" s="9" t="s">
        <v>21</v>
      </c>
      <c r="D121" s="9" t="s">
        <v>293</v>
      </c>
      <c r="E121" s="9" t="s">
        <v>23</v>
      </c>
      <c r="F121" s="9" t="s">
        <v>32</v>
      </c>
      <c r="G121" s="9">
        <v>16</v>
      </c>
      <c r="H121" s="9">
        <v>112</v>
      </c>
      <c r="I121" s="9">
        <v>96</v>
      </c>
      <c r="K121" s="9">
        <f t="shared" si="16"/>
        <v>0</v>
      </c>
      <c r="L121" s="9">
        <f t="shared" si="17"/>
        <v>0</v>
      </c>
      <c r="M121" s="9" t="s">
        <v>296</v>
      </c>
      <c r="N121" s="9" t="s">
        <v>297</v>
      </c>
      <c r="O121" s="9" t="s">
        <v>166</v>
      </c>
      <c r="P121" s="10">
        <v>0.13700000000000001</v>
      </c>
      <c r="Q121" s="11">
        <v>16.52</v>
      </c>
      <c r="R121" s="12">
        <f t="shared" si="18"/>
        <v>0</v>
      </c>
      <c r="S121" s="12">
        <f t="shared" si="19"/>
        <v>0</v>
      </c>
      <c r="T121" s="9" t="s">
        <v>660</v>
      </c>
    </row>
    <row r="122" spans="1:20" ht="12.75" customHeight="1" x14ac:dyDescent="0.2">
      <c r="A122" s="8">
        <v>50501003310003</v>
      </c>
      <c r="B122" s="9" t="s">
        <v>20</v>
      </c>
      <c r="C122" s="9" t="s">
        <v>21</v>
      </c>
      <c r="D122" s="9" t="s">
        <v>293</v>
      </c>
      <c r="E122" s="9" t="s">
        <v>23</v>
      </c>
      <c r="F122" s="9" t="s">
        <v>35</v>
      </c>
      <c r="G122" s="9">
        <v>16</v>
      </c>
      <c r="H122" s="9">
        <v>126</v>
      </c>
      <c r="I122" s="9">
        <v>109</v>
      </c>
      <c r="K122" s="9">
        <f t="shared" si="16"/>
        <v>0</v>
      </c>
      <c r="L122" s="9">
        <f t="shared" si="17"/>
        <v>0</v>
      </c>
      <c r="M122" s="9" t="s">
        <v>298</v>
      </c>
      <c r="N122" s="9" t="s">
        <v>299</v>
      </c>
      <c r="O122" s="9" t="s">
        <v>166</v>
      </c>
      <c r="P122" s="10">
        <v>0.16200000000000001</v>
      </c>
      <c r="Q122" s="11">
        <v>16.559999999999999</v>
      </c>
      <c r="R122" s="12">
        <f t="shared" si="18"/>
        <v>0</v>
      </c>
      <c r="S122" s="12">
        <f t="shared" si="19"/>
        <v>0</v>
      </c>
      <c r="T122" s="9" t="s">
        <v>661</v>
      </c>
    </row>
    <row r="123" spans="1:20" ht="12.75" customHeight="1" x14ac:dyDescent="0.2">
      <c r="A123" s="8">
        <v>50501003310004</v>
      </c>
      <c r="B123" s="9" t="s">
        <v>20</v>
      </c>
      <c r="C123" s="9" t="s">
        <v>21</v>
      </c>
      <c r="D123" s="9" t="s">
        <v>293</v>
      </c>
      <c r="E123" s="9" t="s">
        <v>23</v>
      </c>
      <c r="F123" s="9" t="s">
        <v>38</v>
      </c>
      <c r="G123" s="9">
        <v>16</v>
      </c>
      <c r="H123" s="9">
        <v>137</v>
      </c>
      <c r="I123" s="9">
        <v>118</v>
      </c>
      <c r="K123" s="9">
        <f t="shared" si="16"/>
        <v>0</v>
      </c>
      <c r="L123" s="9">
        <f t="shared" si="17"/>
        <v>0</v>
      </c>
      <c r="M123" s="9" t="s">
        <v>300</v>
      </c>
      <c r="N123" s="9" t="s">
        <v>301</v>
      </c>
      <c r="O123" s="9" t="s">
        <v>166</v>
      </c>
      <c r="P123" s="10">
        <v>0.186</v>
      </c>
      <c r="Q123" s="11">
        <v>21.9</v>
      </c>
      <c r="R123" s="12">
        <f t="shared" si="18"/>
        <v>0</v>
      </c>
      <c r="S123" s="12">
        <f t="shared" si="19"/>
        <v>0</v>
      </c>
      <c r="T123" s="9" t="s">
        <v>662</v>
      </c>
    </row>
    <row r="124" spans="1:20" ht="12.75" customHeight="1" x14ac:dyDescent="0.2">
      <c r="A124" s="8">
        <v>50501003310005</v>
      </c>
      <c r="B124" s="9" t="s">
        <v>20</v>
      </c>
      <c r="C124" s="9" t="s">
        <v>21</v>
      </c>
      <c r="D124" s="9" t="s">
        <v>293</v>
      </c>
      <c r="E124" s="9" t="s">
        <v>23</v>
      </c>
      <c r="F124" s="9" t="s">
        <v>44</v>
      </c>
      <c r="G124" s="9">
        <v>16</v>
      </c>
      <c r="H124" s="9">
        <v>151</v>
      </c>
      <c r="I124" s="9">
        <v>130</v>
      </c>
      <c r="K124" s="9">
        <f t="shared" si="16"/>
        <v>0</v>
      </c>
      <c r="L124" s="9">
        <f t="shared" si="17"/>
        <v>0</v>
      </c>
      <c r="M124" s="9" t="s">
        <v>302</v>
      </c>
      <c r="N124" s="9" t="s">
        <v>303</v>
      </c>
      <c r="O124" s="9" t="s">
        <v>166</v>
      </c>
      <c r="P124" s="10">
        <v>0.19800000000000001</v>
      </c>
      <c r="Q124" s="11">
        <v>23.99</v>
      </c>
      <c r="R124" s="12">
        <f t="shared" si="18"/>
        <v>0</v>
      </c>
      <c r="S124" s="12">
        <f t="shared" si="19"/>
        <v>0</v>
      </c>
      <c r="T124" s="9" t="s">
        <v>663</v>
      </c>
    </row>
    <row r="125" spans="1:20" ht="12.75" customHeight="1" x14ac:dyDescent="0.2">
      <c r="A125" s="8">
        <v>50501003310006</v>
      </c>
      <c r="B125" s="9" t="s">
        <v>20</v>
      </c>
      <c r="C125" s="9" t="s">
        <v>21</v>
      </c>
      <c r="D125" s="9" t="s">
        <v>293</v>
      </c>
      <c r="E125" s="9" t="s">
        <v>23</v>
      </c>
      <c r="F125" s="9" t="s">
        <v>47</v>
      </c>
      <c r="G125" s="9">
        <v>16</v>
      </c>
      <c r="H125" s="9">
        <v>158</v>
      </c>
      <c r="I125" s="9">
        <v>136</v>
      </c>
      <c r="K125" s="9">
        <f t="shared" si="16"/>
        <v>0</v>
      </c>
      <c r="L125" s="9">
        <f t="shared" si="17"/>
        <v>0</v>
      </c>
      <c r="M125" s="9" t="s">
        <v>304</v>
      </c>
      <c r="N125" s="9" t="s">
        <v>305</v>
      </c>
      <c r="O125" s="9" t="s">
        <v>166</v>
      </c>
      <c r="P125" s="10">
        <v>0.21099999999999999</v>
      </c>
      <c r="Q125" s="11">
        <v>25.98</v>
      </c>
      <c r="R125" s="12">
        <f t="shared" si="18"/>
        <v>0</v>
      </c>
      <c r="S125" s="12">
        <f t="shared" si="19"/>
        <v>0</v>
      </c>
      <c r="T125" s="9" t="s">
        <v>664</v>
      </c>
    </row>
    <row r="126" spans="1:20" ht="12.75" customHeight="1" x14ac:dyDescent="0.2">
      <c r="A126" s="8">
        <v>50501000630003</v>
      </c>
      <c r="B126" s="9" t="s">
        <v>20</v>
      </c>
      <c r="C126" s="9" t="s">
        <v>21</v>
      </c>
      <c r="D126" s="9" t="s">
        <v>306</v>
      </c>
      <c r="E126" s="9" t="s">
        <v>31</v>
      </c>
      <c r="F126" s="9" t="s">
        <v>32</v>
      </c>
      <c r="G126" s="9">
        <v>31</v>
      </c>
      <c r="H126" s="9">
        <v>185</v>
      </c>
      <c r="I126" s="9">
        <v>159</v>
      </c>
      <c r="K126" s="9">
        <f t="shared" si="16"/>
        <v>0</v>
      </c>
      <c r="L126" s="9">
        <f t="shared" si="17"/>
        <v>0</v>
      </c>
      <c r="M126" s="9" t="s">
        <v>307</v>
      </c>
      <c r="N126" s="9" t="s">
        <v>308</v>
      </c>
      <c r="O126" s="9" t="s">
        <v>27</v>
      </c>
      <c r="P126" s="10">
        <v>0.6</v>
      </c>
      <c r="Q126" s="11">
        <v>26.39</v>
      </c>
      <c r="R126" s="12">
        <f t="shared" si="18"/>
        <v>0</v>
      </c>
      <c r="S126" s="12">
        <f t="shared" si="19"/>
        <v>0</v>
      </c>
      <c r="T126" s="9" t="s">
        <v>665</v>
      </c>
    </row>
    <row r="127" spans="1:20" ht="12.75" customHeight="1" x14ac:dyDescent="0.2">
      <c r="A127" s="8">
        <v>50501000630004</v>
      </c>
      <c r="B127" s="9" t="s">
        <v>20</v>
      </c>
      <c r="C127" s="9" t="s">
        <v>21</v>
      </c>
      <c r="D127" s="9" t="s">
        <v>306</v>
      </c>
      <c r="E127" s="9" t="s">
        <v>31</v>
      </c>
      <c r="F127" s="9" t="s">
        <v>35</v>
      </c>
      <c r="G127" s="9">
        <v>31</v>
      </c>
      <c r="H127" s="9">
        <v>211</v>
      </c>
      <c r="I127" s="9">
        <v>182</v>
      </c>
      <c r="K127" s="9">
        <f t="shared" si="16"/>
        <v>0</v>
      </c>
      <c r="L127" s="9">
        <f t="shared" si="17"/>
        <v>0</v>
      </c>
      <c r="M127" s="9" t="s">
        <v>309</v>
      </c>
      <c r="N127" s="9" t="s">
        <v>310</v>
      </c>
      <c r="O127" s="9" t="s">
        <v>27</v>
      </c>
      <c r="P127" s="10">
        <v>0.72</v>
      </c>
      <c r="Q127" s="11">
        <v>31.22</v>
      </c>
      <c r="R127" s="12">
        <f t="shared" si="18"/>
        <v>0</v>
      </c>
      <c r="S127" s="12">
        <f t="shared" si="19"/>
        <v>0</v>
      </c>
      <c r="T127" s="9" t="s">
        <v>666</v>
      </c>
    </row>
    <row r="128" spans="1:20" ht="12.75" customHeight="1" x14ac:dyDescent="0.2">
      <c r="A128" s="8">
        <v>50501000630005</v>
      </c>
      <c r="B128" s="9" t="s">
        <v>20</v>
      </c>
      <c r="C128" s="9" t="s">
        <v>21</v>
      </c>
      <c r="D128" s="9" t="s">
        <v>306</v>
      </c>
      <c r="E128" s="9" t="s">
        <v>31</v>
      </c>
      <c r="F128" s="9" t="s">
        <v>38</v>
      </c>
      <c r="G128" s="9">
        <v>31</v>
      </c>
      <c r="H128" s="9">
        <v>233</v>
      </c>
      <c r="I128" s="9">
        <v>201</v>
      </c>
      <c r="K128" s="9">
        <f t="shared" si="16"/>
        <v>0</v>
      </c>
      <c r="L128" s="9">
        <f t="shared" si="17"/>
        <v>0</v>
      </c>
      <c r="M128" s="9" t="s">
        <v>311</v>
      </c>
      <c r="N128" s="9" t="s">
        <v>312</v>
      </c>
      <c r="O128" s="9" t="s">
        <v>27</v>
      </c>
      <c r="P128" s="10">
        <v>0.79800000000000004</v>
      </c>
      <c r="Q128" s="11">
        <v>35.11</v>
      </c>
      <c r="R128" s="12">
        <f t="shared" si="18"/>
        <v>0</v>
      </c>
      <c r="S128" s="12">
        <f t="shared" si="19"/>
        <v>0</v>
      </c>
      <c r="T128" s="9" t="s">
        <v>667</v>
      </c>
    </row>
    <row r="129" spans="1:20" ht="12.75" customHeight="1" x14ac:dyDescent="0.2">
      <c r="A129" s="8">
        <v>50501000630006</v>
      </c>
      <c r="B129" s="9" t="s">
        <v>20</v>
      </c>
      <c r="C129" s="9" t="s">
        <v>21</v>
      </c>
      <c r="D129" s="9" t="s">
        <v>306</v>
      </c>
      <c r="E129" s="9" t="s">
        <v>23</v>
      </c>
      <c r="F129" s="9" t="s">
        <v>41</v>
      </c>
      <c r="G129" s="9">
        <v>31</v>
      </c>
      <c r="H129" s="9">
        <v>233</v>
      </c>
      <c r="I129" s="9">
        <v>201</v>
      </c>
      <c r="K129" s="9">
        <f t="shared" si="16"/>
        <v>0</v>
      </c>
      <c r="L129" s="9">
        <f t="shared" si="17"/>
        <v>0</v>
      </c>
      <c r="M129" s="9" t="s">
        <v>313</v>
      </c>
      <c r="N129" s="9" t="s">
        <v>314</v>
      </c>
      <c r="O129" s="9" t="s">
        <v>27</v>
      </c>
      <c r="P129" s="10">
        <v>0.84</v>
      </c>
      <c r="Q129" s="11">
        <v>37.020000000000003</v>
      </c>
      <c r="R129" s="12">
        <f t="shared" si="18"/>
        <v>0</v>
      </c>
      <c r="S129" s="12">
        <f t="shared" si="19"/>
        <v>0</v>
      </c>
      <c r="T129" s="9" t="s">
        <v>668</v>
      </c>
    </row>
    <row r="130" spans="1:20" ht="12.75" customHeight="1" x14ac:dyDescent="0.2">
      <c r="A130" s="8">
        <v>50501000630007</v>
      </c>
      <c r="B130" s="9" t="s">
        <v>20</v>
      </c>
      <c r="C130" s="9" t="s">
        <v>21</v>
      </c>
      <c r="D130" s="9" t="s">
        <v>306</v>
      </c>
      <c r="E130" s="9" t="s">
        <v>31</v>
      </c>
      <c r="F130" s="9" t="s">
        <v>44</v>
      </c>
      <c r="G130" s="9">
        <v>31</v>
      </c>
      <c r="H130" s="9">
        <v>243</v>
      </c>
      <c r="I130" s="9">
        <v>209</v>
      </c>
      <c r="K130" s="9">
        <f t="shared" si="16"/>
        <v>0</v>
      </c>
      <c r="L130" s="9">
        <f t="shared" si="17"/>
        <v>0</v>
      </c>
      <c r="M130" s="9" t="s">
        <v>315</v>
      </c>
      <c r="N130" s="9" t="s">
        <v>316</v>
      </c>
      <c r="O130" s="9" t="s">
        <v>27</v>
      </c>
      <c r="P130" s="10">
        <v>0.9</v>
      </c>
      <c r="Q130" s="11">
        <v>38.96</v>
      </c>
      <c r="R130" s="12">
        <f t="shared" si="18"/>
        <v>0</v>
      </c>
      <c r="S130" s="12">
        <f t="shared" si="19"/>
        <v>0</v>
      </c>
      <c r="T130" s="9" t="s">
        <v>669</v>
      </c>
    </row>
    <row r="131" spans="1:20" ht="12.75" customHeight="1" x14ac:dyDescent="0.2">
      <c r="A131" s="8">
        <v>50501000630008</v>
      </c>
      <c r="B131" s="9" t="s">
        <v>20</v>
      </c>
      <c r="C131" s="9" t="s">
        <v>21</v>
      </c>
      <c r="D131" s="9" t="s">
        <v>306</v>
      </c>
      <c r="E131" s="9" t="s">
        <v>31</v>
      </c>
      <c r="F131" s="9" t="s">
        <v>47</v>
      </c>
      <c r="G131" s="9">
        <v>31</v>
      </c>
      <c r="H131" s="9">
        <v>257</v>
      </c>
      <c r="I131" s="9">
        <v>221</v>
      </c>
      <c r="K131" s="9">
        <f t="shared" si="16"/>
        <v>0</v>
      </c>
      <c r="L131" s="9">
        <f t="shared" si="17"/>
        <v>0</v>
      </c>
      <c r="M131" s="9" t="s">
        <v>317</v>
      </c>
      <c r="N131" s="9" t="s">
        <v>318</v>
      </c>
      <c r="O131" s="9" t="s">
        <v>27</v>
      </c>
      <c r="P131" s="10">
        <v>0.96</v>
      </c>
      <c r="Q131" s="11">
        <v>41.85</v>
      </c>
      <c r="R131" s="12">
        <f t="shared" si="18"/>
        <v>0</v>
      </c>
      <c r="S131" s="12">
        <f t="shared" si="19"/>
        <v>0</v>
      </c>
      <c r="T131" s="9" t="s">
        <v>670</v>
      </c>
    </row>
    <row r="132" spans="1:20" ht="12.75" customHeight="1" x14ac:dyDescent="0.2">
      <c r="A132" s="8">
        <v>50501000630010</v>
      </c>
      <c r="B132" s="9" t="s">
        <v>20</v>
      </c>
      <c r="C132" s="9" t="s">
        <v>21</v>
      </c>
      <c r="D132" s="9" t="s">
        <v>306</v>
      </c>
      <c r="E132" s="9" t="s">
        <v>31</v>
      </c>
      <c r="F132" s="9" t="s">
        <v>67</v>
      </c>
      <c r="G132" s="9">
        <v>31</v>
      </c>
      <c r="H132" s="9">
        <v>277</v>
      </c>
      <c r="I132" s="9">
        <v>239</v>
      </c>
      <c r="K132" s="9">
        <f t="shared" si="16"/>
        <v>0</v>
      </c>
      <c r="L132" s="9">
        <f t="shared" si="17"/>
        <v>0</v>
      </c>
      <c r="M132" s="9" t="s">
        <v>319</v>
      </c>
      <c r="N132" s="9" t="s">
        <v>320</v>
      </c>
      <c r="O132" s="9" t="s">
        <v>27</v>
      </c>
      <c r="P132" s="10">
        <v>1.08</v>
      </c>
      <c r="Q132" s="11">
        <v>46.7</v>
      </c>
      <c r="R132" s="12">
        <f t="shared" si="18"/>
        <v>0</v>
      </c>
      <c r="S132" s="12">
        <f t="shared" si="19"/>
        <v>0</v>
      </c>
      <c r="T132" s="9" t="s">
        <v>671</v>
      </c>
    </row>
    <row r="133" spans="1:20" ht="12.75" customHeight="1" x14ac:dyDescent="0.2">
      <c r="A133" s="8">
        <v>50501000630009</v>
      </c>
      <c r="B133" s="9" t="s">
        <v>20</v>
      </c>
      <c r="C133" s="9" t="s">
        <v>21</v>
      </c>
      <c r="D133" s="9" t="s">
        <v>306</v>
      </c>
      <c r="E133" s="9" t="s">
        <v>31</v>
      </c>
      <c r="F133" s="9" t="s">
        <v>89</v>
      </c>
      <c r="G133" s="9">
        <v>31</v>
      </c>
      <c r="H133" s="9">
        <v>302</v>
      </c>
      <c r="I133" s="9">
        <v>260</v>
      </c>
      <c r="K133" s="9">
        <f t="shared" si="16"/>
        <v>0</v>
      </c>
      <c r="L133" s="9">
        <f t="shared" si="17"/>
        <v>0</v>
      </c>
      <c r="M133" s="9" t="s">
        <v>321</v>
      </c>
      <c r="N133" s="9" t="s">
        <v>322</v>
      </c>
      <c r="O133" s="9" t="s">
        <v>27</v>
      </c>
      <c r="P133" s="10">
        <v>1.2</v>
      </c>
      <c r="Q133" s="11">
        <v>52.49</v>
      </c>
      <c r="R133" s="12">
        <f t="shared" si="18"/>
        <v>0</v>
      </c>
      <c r="S133" s="12">
        <f t="shared" si="19"/>
        <v>0</v>
      </c>
      <c r="T133" s="9" t="s">
        <v>672</v>
      </c>
    </row>
    <row r="134" spans="1:20" ht="12.75" customHeight="1" x14ac:dyDescent="0.2">
      <c r="A134" s="8">
        <v>50501002380003</v>
      </c>
      <c r="B134" s="9" t="s">
        <v>20</v>
      </c>
      <c r="C134" s="9" t="s">
        <v>21</v>
      </c>
      <c r="D134" s="9" t="s">
        <v>323</v>
      </c>
      <c r="E134" s="9" t="s">
        <v>23</v>
      </c>
      <c r="F134" s="9" t="s">
        <v>89</v>
      </c>
      <c r="H134" s="9">
        <v>234</v>
      </c>
      <c r="I134" s="9">
        <v>202</v>
      </c>
      <c r="K134" s="9">
        <f t="shared" ref="K134:K165" si="20">H134*J134</f>
        <v>0</v>
      </c>
      <c r="L134" s="9">
        <f t="shared" si="17"/>
        <v>0</v>
      </c>
      <c r="M134" s="9" t="s">
        <v>324</v>
      </c>
      <c r="N134" s="9" t="s">
        <v>325</v>
      </c>
      <c r="O134" s="9" t="s">
        <v>27</v>
      </c>
      <c r="P134" s="10">
        <v>0.26</v>
      </c>
      <c r="Q134" s="11">
        <v>52.314</v>
      </c>
      <c r="R134" s="12">
        <f t="shared" si="18"/>
        <v>0</v>
      </c>
      <c r="S134" s="12">
        <f t="shared" si="19"/>
        <v>0</v>
      </c>
      <c r="T134" s="9" t="s">
        <v>673</v>
      </c>
    </row>
    <row r="135" spans="1:20" ht="12.75" customHeight="1" x14ac:dyDescent="0.2">
      <c r="A135" s="8" t="s">
        <v>326</v>
      </c>
      <c r="B135" s="9" t="s">
        <v>20</v>
      </c>
      <c r="C135" s="9" t="s">
        <v>21</v>
      </c>
      <c r="D135" s="9" t="s">
        <v>323</v>
      </c>
      <c r="E135" s="9" t="s">
        <v>23</v>
      </c>
      <c r="F135" s="9" t="s">
        <v>327</v>
      </c>
      <c r="H135" s="9">
        <v>198</v>
      </c>
      <c r="I135" s="9">
        <v>171</v>
      </c>
      <c r="K135" s="9">
        <f t="shared" ref="K135:K136" si="21">H135*J135</f>
        <v>0</v>
      </c>
      <c r="L135" s="9">
        <f t="shared" ref="L135:L136" si="22">J135*I135</f>
        <v>0</v>
      </c>
      <c r="M135" s="9" t="s">
        <v>328</v>
      </c>
      <c r="N135" s="9" t="s">
        <v>329</v>
      </c>
      <c r="O135" s="9" t="s">
        <v>27</v>
      </c>
      <c r="P135" s="10">
        <v>0.21099999999999999</v>
      </c>
      <c r="Q135" s="11">
        <v>45.664000000000001</v>
      </c>
      <c r="R135" s="12">
        <f t="shared" ref="R135:R136" si="23">P135*J135</f>
        <v>0</v>
      </c>
      <c r="S135" s="12">
        <f t="shared" ref="S135:S136" si="24">Q135*J135</f>
        <v>0</v>
      </c>
      <c r="T135" s="9" t="s">
        <v>674</v>
      </c>
    </row>
    <row r="136" spans="1:20" ht="12.75" customHeight="1" x14ac:dyDescent="0.2">
      <c r="A136" s="8" t="s">
        <v>330</v>
      </c>
      <c r="B136" s="9" t="s">
        <v>20</v>
      </c>
      <c r="C136" s="9" t="s">
        <v>21</v>
      </c>
      <c r="D136" s="9" t="s">
        <v>323</v>
      </c>
      <c r="E136" s="9" t="s">
        <v>23</v>
      </c>
      <c r="F136" s="9" t="s">
        <v>51</v>
      </c>
      <c r="H136" s="9">
        <v>217</v>
      </c>
      <c r="I136" s="9">
        <v>187</v>
      </c>
      <c r="K136" s="9">
        <f t="shared" si="21"/>
        <v>0</v>
      </c>
      <c r="L136" s="9">
        <f t="shared" si="22"/>
        <v>0</v>
      </c>
      <c r="M136" s="9" t="s">
        <v>331</v>
      </c>
      <c r="N136" s="9" t="s">
        <v>332</v>
      </c>
      <c r="O136" s="9" t="s">
        <v>27</v>
      </c>
      <c r="P136" s="10">
        <v>0.23499999999999999</v>
      </c>
      <c r="Q136" s="11">
        <v>49.18</v>
      </c>
      <c r="R136" s="12">
        <f t="shared" si="23"/>
        <v>0</v>
      </c>
      <c r="S136" s="12">
        <f t="shared" si="24"/>
        <v>0</v>
      </c>
      <c r="T136" s="9" t="s">
        <v>675</v>
      </c>
    </row>
    <row r="137" spans="1:20" ht="12.75" customHeight="1" x14ac:dyDescent="0.2">
      <c r="A137" s="8">
        <v>50501003450001</v>
      </c>
      <c r="B137" s="9" t="s">
        <v>20</v>
      </c>
      <c r="C137" s="9" t="s">
        <v>21</v>
      </c>
      <c r="D137" s="9" t="s">
        <v>333</v>
      </c>
      <c r="E137" s="9" t="s">
        <v>31</v>
      </c>
      <c r="F137" s="9" t="s">
        <v>24</v>
      </c>
      <c r="G137" s="9">
        <v>28</v>
      </c>
      <c r="H137" s="9">
        <v>124</v>
      </c>
      <c r="I137" s="9">
        <v>107</v>
      </c>
      <c r="K137" s="9">
        <f t="shared" ref="K137:K168" si="25">H137*J137</f>
        <v>0</v>
      </c>
      <c r="L137" s="9">
        <f t="shared" ref="L137:L168" si="26">J137*I137</f>
        <v>0</v>
      </c>
      <c r="M137" s="9" t="s">
        <v>334</v>
      </c>
      <c r="N137" s="9" t="s">
        <v>335</v>
      </c>
      <c r="O137" s="9" t="s">
        <v>27</v>
      </c>
      <c r="P137" s="10">
        <v>0.47899999999999998</v>
      </c>
      <c r="Q137" s="11">
        <v>20.809000000000001</v>
      </c>
      <c r="R137" s="12">
        <f t="shared" ref="R137:R168" si="27">P137*J137</f>
        <v>0</v>
      </c>
      <c r="S137" s="12">
        <f t="shared" ref="S137:S168" si="28">Q137*J137</f>
        <v>0</v>
      </c>
      <c r="T137" s="9" t="s">
        <v>676</v>
      </c>
    </row>
    <row r="138" spans="1:20" ht="12.75" customHeight="1" x14ac:dyDescent="0.2">
      <c r="A138" s="8">
        <v>50501003450002</v>
      </c>
      <c r="B138" s="9" t="s">
        <v>20</v>
      </c>
      <c r="C138" s="9" t="s">
        <v>21</v>
      </c>
      <c r="D138" s="9" t="s">
        <v>333</v>
      </c>
      <c r="E138" s="9" t="s">
        <v>23</v>
      </c>
      <c r="F138" s="9" t="s">
        <v>28</v>
      </c>
      <c r="G138" s="9">
        <v>28</v>
      </c>
      <c r="H138" s="9">
        <v>124</v>
      </c>
      <c r="I138" s="9">
        <v>107</v>
      </c>
      <c r="K138" s="9">
        <f t="shared" si="25"/>
        <v>0</v>
      </c>
      <c r="L138" s="9">
        <f t="shared" si="26"/>
        <v>0</v>
      </c>
      <c r="M138" s="9" t="s">
        <v>336</v>
      </c>
      <c r="N138" s="9" t="s">
        <v>337</v>
      </c>
      <c r="O138" s="9" t="s">
        <v>27</v>
      </c>
      <c r="P138" s="10">
        <v>0.504</v>
      </c>
      <c r="Q138" s="11">
        <v>22.123999999999999</v>
      </c>
      <c r="R138" s="12">
        <f t="shared" si="27"/>
        <v>0</v>
      </c>
      <c r="S138" s="12">
        <f t="shared" si="28"/>
        <v>0</v>
      </c>
      <c r="T138" s="9" t="s">
        <v>677</v>
      </c>
    </row>
    <row r="139" spans="1:20" ht="12.75" customHeight="1" x14ac:dyDescent="0.2">
      <c r="A139" s="8">
        <v>50501003450003</v>
      </c>
      <c r="B139" s="9" t="s">
        <v>20</v>
      </c>
      <c r="C139" s="9" t="s">
        <v>21</v>
      </c>
      <c r="D139" s="9" t="s">
        <v>333</v>
      </c>
      <c r="E139" s="9" t="s">
        <v>31</v>
      </c>
      <c r="F139" s="9" t="s">
        <v>32</v>
      </c>
      <c r="G139" s="9">
        <v>28</v>
      </c>
      <c r="H139" s="9">
        <v>131</v>
      </c>
      <c r="I139" s="9">
        <v>113</v>
      </c>
      <c r="K139" s="9">
        <f t="shared" si="25"/>
        <v>0</v>
      </c>
      <c r="L139" s="9">
        <f t="shared" si="26"/>
        <v>0</v>
      </c>
      <c r="M139" s="9" t="s">
        <v>338</v>
      </c>
      <c r="N139" s="9" t="s">
        <v>339</v>
      </c>
      <c r="O139" s="9" t="s">
        <v>27</v>
      </c>
      <c r="P139" s="10">
        <v>0.56000000000000005</v>
      </c>
      <c r="Q139" s="11">
        <v>24.475999999999999</v>
      </c>
      <c r="R139" s="12">
        <f t="shared" si="27"/>
        <v>0</v>
      </c>
      <c r="S139" s="12">
        <f t="shared" si="28"/>
        <v>0</v>
      </c>
      <c r="T139" s="9" t="s">
        <v>678</v>
      </c>
    </row>
    <row r="140" spans="1:20" ht="12.75" customHeight="1" x14ac:dyDescent="0.2">
      <c r="A140" s="8">
        <v>50501003450004</v>
      </c>
      <c r="B140" s="9" t="s">
        <v>20</v>
      </c>
      <c r="C140" s="9" t="s">
        <v>21</v>
      </c>
      <c r="D140" s="9" t="s">
        <v>333</v>
      </c>
      <c r="E140" s="9" t="s">
        <v>31</v>
      </c>
      <c r="F140" s="9" t="s">
        <v>35</v>
      </c>
      <c r="G140" s="9">
        <v>28</v>
      </c>
      <c r="H140" s="9">
        <v>138</v>
      </c>
      <c r="I140" s="9">
        <v>119</v>
      </c>
      <c r="K140" s="9">
        <f t="shared" si="25"/>
        <v>0</v>
      </c>
      <c r="L140" s="9">
        <f t="shared" si="26"/>
        <v>0</v>
      </c>
      <c r="M140" s="9" t="s">
        <v>340</v>
      </c>
      <c r="N140" s="9" t="s">
        <v>341</v>
      </c>
      <c r="O140" s="9" t="s">
        <v>27</v>
      </c>
      <c r="P140" s="10">
        <v>0.67200000000000004</v>
      </c>
      <c r="Q140" s="11">
        <v>28.956</v>
      </c>
      <c r="R140" s="12">
        <f t="shared" si="27"/>
        <v>0</v>
      </c>
      <c r="S140" s="12">
        <f t="shared" si="28"/>
        <v>0</v>
      </c>
      <c r="T140" s="9" t="s">
        <v>679</v>
      </c>
    </row>
    <row r="141" spans="1:20" ht="12.75" customHeight="1" x14ac:dyDescent="0.2">
      <c r="A141" s="8">
        <v>50501003450005</v>
      </c>
      <c r="B141" s="9" t="s">
        <v>20</v>
      </c>
      <c r="C141" s="9" t="s">
        <v>21</v>
      </c>
      <c r="D141" s="9" t="s">
        <v>333</v>
      </c>
      <c r="E141" s="9" t="s">
        <v>31</v>
      </c>
      <c r="F141" s="9" t="s">
        <v>38</v>
      </c>
      <c r="G141" s="9">
        <v>28</v>
      </c>
      <c r="H141" s="9">
        <v>158</v>
      </c>
      <c r="I141" s="9">
        <v>137</v>
      </c>
      <c r="K141" s="9">
        <f t="shared" si="25"/>
        <v>0</v>
      </c>
      <c r="L141" s="9">
        <f t="shared" si="26"/>
        <v>0</v>
      </c>
      <c r="M141" s="9" t="s">
        <v>342</v>
      </c>
      <c r="N141" s="9" t="s">
        <v>343</v>
      </c>
      <c r="O141" s="9" t="s">
        <v>27</v>
      </c>
      <c r="P141" s="10">
        <v>0.745</v>
      </c>
      <c r="Q141" s="11">
        <v>32.506999999999998</v>
      </c>
      <c r="R141" s="12">
        <f t="shared" si="27"/>
        <v>0</v>
      </c>
      <c r="S141" s="12">
        <f t="shared" si="28"/>
        <v>0</v>
      </c>
      <c r="T141" s="9" t="s">
        <v>680</v>
      </c>
    </row>
    <row r="142" spans="1:20" ht="12.75" customHeight="1" x14ac:dyDescent="0.2">
      <c r="A142" s="8">
        <v>50501003450006</v>
      </c>
      <c r="B142" s="9" t="s">
        <v>20</v>
      </c>
      <c r="C142" s="9" t="s">
        <v>21</v>
      </c>
      <c r="D142" s="9" t="s">
        <v>333</v>
      </c>
      <c r="E142" s="9" t="s">
        <v>23</v>
      </c>
      <c r="F142" s="9" t="s">
        <v>41</v>
      </c>
      <c r="G142" s="9">
        <v>28</v>
      </c>
      <c r="H142" s="9">
        <v>166</v>
      </c>
      <c r="I142" s="9">
        <v>143</v>
      </c>
      <c r="K142" s="9">
        <f t="shared" si="25"/>
        <v>0</v>
      </c>
      <c r="L142" s="9">
        <f t="shared" si="26"/>
        <v>0</v>
      </c>
      <c r="M142" s="9" t="s">
        <v>344</v>
      </c>
      <c r="N142" s="9" t="s">
        <v>345</v>
      </c>
      <c r="O142" s="9" t="s">
        <v>27</v>
      </c>
      <c r="P142" s="10">
        <v>0.78400000000000003</v>
      </c>
      <c r="Q142" s="11">
        <v>36.023000000000003</v>
      </c>
      <c r="R142" s="12">
        <f t="shared" si="27"/>
        <v>0</v>
      </c>
      <c r="S142" s="12">
        <f t="shared" si="28"/>
        <v>0</v>
      </c>
      <c r="T142" s="9" t="s">
        <v>681</v>
      </c>
    </row>
    <row r="143" spans="1:20" ht="12.75" customHeight="1" x14ac:dyDescent="0.2">
      <c r="A143" s="8">
        <v>50501003450007</v>
      </c>
      <c r="B143" s="9" t="s">
        <v>20</v>
      </c>
      <c r="C143" s="9" t="s">
        <v>21</v>
      </c>
      <c r="D143" s="9" t="s">
        <v>333</v>
      </c>
      <c r="E143" s="9" t="s">
        <v>31</v>
      </c>
      <c r="F143" s="9" t="s">
        <v>44</v>
      </c>
      <c r="G143" s="9">
        <v>28</v>
      </c>
      <c r="H143" s="9">
        <v>173</v>
      </c>
      <c r="I143" s="9">
        <v>149</v>
      </c>
      <c r="K143" s="9">
        <f t="shared" si="25"/>
        <v>0</v>
      </c>
      <c r="L143" s="9">
        <f t="shared" si="26"/>
        <v>0</v>
      </c>
      <c r="M143" s="9" t="s">
        <v>346</v>
      </c>
      <c r="N143" s="9" t="s">
        <v>347</v>
      </c>
      <c r="O143" s="9" t="s">
        <v>27</v>
      </c>
      <c r="P143" s="10">
        <v>0.84</v>
      </c>
      <c r="Q143" s="11">
        <v>38.637999999999998</v>
      </c>
      <c r="R143" s="12">
        <f t="shared" si="27"/>
        <v>0</v>
      </c>
      <c r="S143" s="12">
        <f t="shared" si="28"/>
        <v>0</v>
      </c>
      <c r="T143" s="9" t="s">
        <v>682</v>
      </c>
    </row>
    <row r="144" spans="1:20" ht="12.75" customHeight="1" x14ac:dyDescent="0.2">
      <c r="A144" s="8">
        <v>50501003450008</v>
      </c>
      <c r="B144" s="9" t="s">
        <v>20</v>
      </c>
      <c r="C144" s="9" t="s">
        <v>21</v>
      </c>
      <c r="D144" s="9" t="s">
        <v>333</v>
      </c>
      <c r="E144" s="9" t="s">
        <v>31</v>
      </c>
      <c r="F144" s="9" t="s">
        <v>47</v>
      </c>
      <c r="G144" s="9">
        <v>28</v>
      </c>
      <c r="H144" s="9">
        <v>185</v>
      </c>
      <c r="I144" s="9">
        <v>159</v>
      </c>
      <c r="K144" s="9">
        <f t="shared" si="25"/>
        <v>0</v>
      </c>
      <c r="L144" s="9">
        <f t="shared" si="26"/>
        <v>0</v>
      </c>
      <c r="M144" s="9" t="s">
        <v>348</v>
      </c>
      <c r="N144" s="9" t="s">
        <v>349</v>
      </c>
      <c r="O144" s="9" t="s">
        <v>27</v>
      </c>
      <c r="P144" s="10">
        <v>0.89600000000000002</v>
      </c>
      <c r="Q144" s="11">
        <v>43.137</v>
      </c>
      <c r="R144" s="12">
        <f t="shared" si="27"/>
        <v>0</v>
      </c>
      <c r="S144" s="12">
        <f t="shared" si="28"/>
        <v>0</v>
      </c>
      <c r="T144" s="9" t="s">
        <v>683</v>
      </c>
    </row>
    <row r="145" spans="1:20" ht="12.75" customHeight="1" x14ac:dyDescent="0.2">
      <c r="A145" s="8">
        <v>50501000000158</v>
      </c>
      <c r="B145" s="9" t="s">
        <v>20</v>
      </c>
      <c r="C145" s="9" t="s">
        <v>21</v>
      </c>
      <c r="D145" s="9" t="s">
        <v>350</v>
      </c>
      <c r="E145" s="9" t="s">
        <v>31</v>
      </c>
      <c r="F145" s="9" t="s">
        <v>24</v>
      </c>
      <c r="G145" s="9">
        <v>32</v>
      </c>
      <c r="H145" s="9">
        <v>212</v>
      </c>
      <c r="I145" s="9">
        <v>182</v>
      </c>
      <c r="K145" s="9">
        <f t="shared" si="25"/>
        <v>0</v>
      </c>
      <c r="L145" s="9">
        <f t="shared" si="26"/>
        <v>0</v>
      </c>
      <c r="M145" s="9" t="s">
        <v>351</v>
      </c>
      <c r="N145" s="9" t="s">
        <v>352</v>
      </c>
      <c r="O145" s="9" t="s">
        <v>27</v>
      </c>
      <c r="P145" s="10">
        <v>0.54800000000000004</v>
      </c>
      <c r="Q145" s="11">
        <v>25.85</v>
      </c>
      <c r="R145" s="12">
        <f t="shared" si="27"/>
        <v>0</v>
      </c>
      <c r="S145" s="12">
        <f t="shared" si="28"/>
        <v>0</v>
      </c>
      <c r="T145" s="9" t="s">
        <v>684</v>
      </c>
    </row>
    <row r="146" spans="1:20" ht="12.75" customHeight="1" x14ac:dyDescent="0.2">
      <c r="A146" s="8">
        <v>50501000000200</v>
      </c>
      <c r="B146" s="9" t="s">
        <v>20</v>
      </c>
      <c r="C146" s="9" t="s">
        <v>21</v>
      </c>
      <c r="D146" s="9" t="s">
        <v>350</v>
      </c>
      <c r="E146" s="9" t="s">
        <v>31</v>
      </c>
      <c r="F146" s="9" t="s">
        <v>32</v>
      </c>
      <c r="G146" s="9">
        <v>32</v>
      </c>
      <c r="H146" s="9">
        <v>238</v>
      </c>
      <c r="I146" s="9">
        <v>205</v>
      </c>
      <c r="K146" s="9">
        <f t="shared" si="25"/>
        <v>0</v>
      </c>
      <c r="L146" s="9">
        <f t="shared" si="26"/>
        <v>0</v>
      </c>
      <c r="M146" s="9" t="s">
        <v>353</v>
      </c>
      <c r="N146" s="9" t="s">
        <v>354</v>
      </c>
      <c r="O146" s="9" t="s">
        <v>27</v>
      </c>
      <c r="P146" s="10">
        <v>0.64</v>
      </c>
      <c r="Q146" s="11">
        <v>30.49</v>
      </c>
      <c r="R146" s="12">
        <f t="shared" si="27"/>
        <v>0</v>
      </c>
      <c r="S146" s="12">
        <f t="shared" si="28"/>
        <v>0</v>
      </c>
      <c r="T146" s="9" t="s">
        <v>685</v>
      </c>
    </row>
    <row r="147" spans="1:20" x14ac:dyDescent="0.2">
      <c r="A147" s="8">
        <v>50501000000214</v>
      </c>
      <c r="B147" s="9" t="s">
        <v>20</v>
      </c>
      <c r="C147" s="9" t="s">
        <v>21</v>
      </c>
      <c r="D147" s="9" t="s">
        <v>350</v>
      </c>
      <c r="E147" s="9" t="s">
        <v>31</v>
      </c>
      <c r="F147" s="9" t="s">
        <v>35</v>
      </c>
      <c r="G147" s="9">
        <v>32</v>
      </c>
      <c r="H147" s="9">
        <v>261</v>
      </c>
      <c r="I147" s="9">
        <v>225</v>
      </c>
      <c r="K147" s="9">
        <f t="shared" si="25"/>
        <v>0</v>
      </c>
      <c r="L147" s="9">
        <f t="shared" si="26"/>
        <v>0</v>
      </c>
      <c r="M147" s="9" t="s">
        <v>355</v>
      </c>
      <c r="N147" s="9" t="s">
        <v>356</v>
      </c>
      <c r="O147" s="9" t="s">
        <v>27</v>
      </c>
      <c r="P147" s="10">
        <v>0.76800000000000002</v>
      </c>
      <c r="Q147" s="11">
        <v>36.33</v>
      </c>
      <c r="R147" s="12">
        <f t="shared" si="27"/>
        <v>0</v>
      </c>
      <c r="S147" s="12">
        <f t="shared" si="28"/>
        <v>0</v>
      </c>
      <c r="T147" s="9" t="s">
        <v>686</v>
      </c>
    </row>
    <row r="148" spans="1:20" x14ac:dyDescent="0.2">
      <c r="A148" s="8">
        <v>50501000000237</v>
      </c>
      <c r="B148" s="9" t="s">
        <v>20</v>
      </c>
      <c r="C148" s="9" t="s">
        <v>21</v>
      </c>
      <c r="D148" s="9" t="s">
        <v>350</v>
      </c>
      <c r="E148" s="9" t="s">
        <v>31</v>
      </c>
      <c r="F148" s="9" t="s">
        <v>38</v>
      </c>
      <c r="G148" s="9">
        <v>32</v>
      </c>
      <c r="H148" s="9">
        <v>277</v>
      </c>
      <c r="I148" s="9">
        <v>239</v>
      </c>
      <c r="K148" s="9">
        <f t="shared" si="25"/>
        <v>0</v>
      </c>
      <c r="L148" s="9">
        <f t="shared" si="26"/>
        <v>0</v>
      </c>
      <c r="M148" s="9" t="s">
        <v>357</v>
      </c>
      <c r="N148" s="9" t="s">
        <v>358</v>
      </c>
      <c r="O148" s="9" t="s">
        <v>27</v>
      </c>
      <c r="P148" s="10">
        <v>0.85199999999999998</v>
      </c>
      <c r="Q148" s="11">
        <v>40.5</v>
      </c>
      <c r="R148" s="12">
        <f t="shared" si="27"/>
        <v>0</v>
      </c>
      <c r="S148" s="12">
        <f t="shared" si="28"/>
        <v>0</v>
      </c>
      <c r="T148" s="9" t="s">
        <v>687</v>
      </c>
    </row>
    <row r="149" spans="1:20" x14ac:dyDescent="0.2">
      <c r="A149" s="8">
        <v>50501000000264</v>
      </c>
      <c r="B149" s="9" t="s">
        <v>20</v>
      </c>
      <c r="C149" s="9" t="s">
        <v>21</v>
      </c>
      <c r="D149" s="9" t="s">
        <v>350</v>
      </c>
      <c r="E149" s="9" t="s">
        <v>31</v>
      </c>
      <c r="F149" s="9" t="s">
        <v>44</v>
      </c>
      <c r="G149" s="9">
        <v>32</v>
      </c>
      <c r="H149" s="9">
        <v>301</v>
      </c>
      <c r="I149" s="9">
        <v>259</v>
      </c>
      <c r="K149" s="9">
        <f t="shared" si="25"/>
        <v>0</v>
      </c>
      <c r="L149" s="9">
        <f t="shared" si="26"/>
        <v>0</v>
      </c>
      <c r="M149" s="9" t="s">
        <v>359</v>
      </c>
      <c r="N149" s="9" t="s">
        <v>360</v>
      </c>
      <c r="O149" s="9" t="s">
        <v>27</v>
      </c>
      <c r="P149" s="10">
        <v>0.96</v>
      </c>
      <c r="Q149" s="11">
        <v>45.09</v>
      </c>
      <c r="R149" s="12">
        <f t="shared" si="27"/>
        <v>0</v>
      </c>
      <c r="S149" s="12">
        <f t="shared" si="28"/>
        <v>0</v>
      </c>
      <c r="T149" s="9" t="s">
        <v>688</v>
      </c>
    </row>
    <row r="150" spans="1:20" x14ac:dyDescent="0.2">
      <c r="A150" s="8">
        <v>50501000000292</v>
      </c>
      <c r="B150" s="9" t="s">
        <v>20</v>
      </c>
      <c r="C150" s="9" t="s">
        <v>21</v>
      </c>
      <c r="D150" s="9" t="s">
        <v>350</v>
      </c>
      <c r="E150" s="9" t="s">
        <v>31</v>
      </c>
      <c r="F150" s="9" t="s">
        <v>47</v>
      </c>
      <c r="G150" s="9">
        <v>32</v>
      </c>
      <c r="H150" s="9">
        <v>313</v>
      </c>
      <c r="I150" s="9">
        <v>270</v>
      </c>
      <c r="K150" s="9">
        <f t="shared" si="25"/>
        <v>0</v>
      </c>
      <c r="L150" s="9">
        <f t="shared" si="26"/>
        <v>0</v>
      </c>
      <c r="M150" s="9" t="s">
        <v>361</v>
      </c>
      <c r="N150" s="9" t="s">
        <v>362</v>
      </c>
      <c r="O150" s="9" t="s">
        <v>27</v>
      </c>
      <c r="P150" s="10">
        <v>1.024</v>
      </c>
      <c r="Q150" s="11">
        <v>48.6</v>
      </c>
      <c r="R150" s="12">
        <f t="shared" si="27"/>
        <v>0</v>
      </c>
      <c r="S150" s="12">
        <f t="shared" si="28"/>
        <v>0</v>
      </c>
      <c r="T150" s="9" t="s">
        <v>689</v>
      </c>
    </row>
    <row r="151" spans="1:20" x14ac:dyDescent="0.2">
      <c r="A151" s="8">
        <v>50501000000312</v>
      </c>
      <c r="B151" s="9" t="s">
        <v>20</v>
      </c>
      <c r="C151" s="9" t="s">
        <v>21</v>
      </c>
      <c r="D151" s="9" t="s">
        <v>350</v>
      </c>
      <c r="E151" s="9" t="s">
        <v>31</v>
      </c>
      <c r="F151" s="9" t="s">
        <v>67</v>
      </c>
      <c r="G151" s="9">
        <v>32</v>
      </c>
      <c r="H151" s="9">
        <v>345</v>
      </c>
      <c r="I151" s="9">
        <v>297</v>
      </c>
      <c r="K151" s="9">
        <f t="shared" si="25"/>
        <v>0</v>
      </c>
      <c r="L151" s="9">
        <f t="shared" si="26"/>
        <v>0</v>
      </c>
      <c r="M151" s="9" t="s">
        <v>363</v>
      </c>
      <c r="N151" s="9" t="s">
        <v>364</v>
      </c>
      <c r="O151" s="9" t="s">
        <v>27</v>
      </c>
      <c r="P151" s="10">
        <v>1.1519999999999999</v>
      </c>
      <c r="Q151" s="11">
        <v>53</v>
      </c>
      <c r="R151" s="12">
        <f t="shared" si="27"/>
        <v>0</v>
      </c>
      <c r="S151" s="12">
        <f t="shared" si="28"/>
        <v>0</v>
      </c>
      <c r="T151" s="9" t="s">
        <v>690</v>
      </c>
    </row>
    <row r="152" spans="1:20" ht="12.75" customHeight="1" x14ac:dyDescent="0.2">
      <c r="A152" s="8">
        <v>50501000000345</v>
      </c>
      <c r="B152" s="9" t="s">
        <v>20</v>
      </c>
      <c r="C152" s="9" t="s">
        <v>21</v>
      </c>
      <c r="D152" s="9" t="s">
        <v>350</v>
      </c>
      <c r="E152" s="9" t="s">
        <v>23</v>
      </c>
      <c r="F152" s="9" t="s">
        <v>89</v>
      </c>
      <c r="G152" s="9">
        <v>32</v>
      </c>
      <c r="H152" s="9">
        <v>368</v>
      </c>
      <c r="I152" s="9">
        <v>317</v>
      </c>
      <c r="K152" s="9">
        <f t="shared" si="25"/>
        <v>0</v>
      </c>
      <c r="L152" s="9">
        <f t="shared" si="26"/>
        <v>0</v>
      </c>
      <c r="M152" s="9" t="s">
        <v>365</v>
      </c>
      <c r="N152" s="9" t="s">
        <v>366</v>
      </c>
      <c r="O152" s="9" t="s">
        <v>27</v>
      </c>
      <c r="P152" s="10">
        <v>1.28</v>
      </c>
      <c r="Q152" s="11">
        <v>59.69</v>
      </c>
      <c r="R152" s="12">
        <f t="shared" si="27"/>
        <v>0</v>
      </c>
      <c r="S152" s="12">
        <f t="shared" si="28"/>
        <v>0</v>
      </c>
      <c r="T152" s="9" t="s">
        <v>691</v>
      </c>
    </row>
    <row r="153" spans="1:20" ht="12.75" customHeight="1" x14ac:dyDescent="0.2">
      <c r="A153" s="8">
        <v>50501003390001</v>
      </c>
      <c r="B153" s="9" t="s">
        <v>20</v>
      </c>
      <c r="C153" s="9" t="s">
        <v>21</v>
      </c>
      <c r="D153" s="9" t="s">
        <v>367</v>
      </c>
      <c r="E153" s="9" t="s">
        <v>31</v>
      </c>
      <c r="F153" s="9" t="s">
        <v>24</v>
      </c>
      <c r="G153" s="9">
        <v>28</v>
      </c>
      <c r="H153" s="9">
        <v>145</v>
      </c>
      <c r="I153" s="9">
        <v>125</v>
      </c>
      <c r="K153" s="9">
        <f t="shared" si="25"/>
        <v>0</v>
      </c>
      <c r="L153" s="9">
        <f t="shared" si="26"/>
        <v>0</v>
      </c>
      <c r="M153" s="9" t="s">
        <v>368</v>
      </c>
      <c r="N153" s="9" t="s">
        <v>369</v>
      </c>
      <c r="O153" s="9" t="s">
        <v>27</v>
      </c>
      <c r="P153" s="10">
        <v>0.47899999999999998</v>
      </c>
      <c r="Q153" s="11">
        <v>21.89</v>
      </c>
      <c r="R153" s="12">
        <f t="shared" si="27"/>
        <v>0</v>
      </c>
      <c r="S153" s="12">
        <f t="shared" si="28"/>
        <v>0</v>
      </c>
      <c r="T153" s="9" t="s">
        <v>692</v>
      </c>
    </row>
    <row r="154" spans="1:20" ht="12.75" customHeight="1" x14ac:dyDescent="0.2">
      <c r="A154" s="8">
        <v>50501003390002</v>
      </c>
      <c r="B154" s="9" t="s">
        <v>20</v>
      </c>
      <c r="C154" s="9" t="s">
        <v>21</v>
      </c>
      <c r="D154" s="9" t="s">
        <v>367</v>
      </c>
      <c r="E154" s="9" t="s">
        <v>31</v>
      </c>
      <c r="F154" s="9" t="s">
        <v>28</v>
      </c>
      <c r="G154" s="9">
        <v>28</v>
      </c>
      <c r="H154" s="9">
        <v>145</v>
      </c>
      <c r="I154" s="9">
        <v>125</v>
      </c>
      <c r="K154" s="9">
        <f t="shared" si="25"/>
        <v>0</v>
      </c>
      <c r="L154" s="9">
        <f t="shared" si="26"/>
        <v>0</v>
      </c>
      <c r="M154" s="9" t="s">
        <v>370</v>
      </c>
      <c r="N154" s="9" t="s">
        <v>371</v>
      </c>
      <c r="O154" s="9" t="s">
        <v>27</v>
      </c>
      <c r="P154" s="10">
        <v>0.504</v>
      </c>
      <c r="Q154" s="11">
        <v>22.25</v>
      </c>
      <c r="R154" s="12">
        <f t="shared" si="27"/>
        <v>0</v>
      </c>
      <c r="S154" s="12">
        <f t="shared" si="28"/>
        <v>0</v>
      </c>
      <c r="T154" s="9" t="s">
        <v>693</v>
      </c>
    </row>
    <row r="155" spans="1:20" ht="12.75" customHeight="1" x14ac:dyDescent="0.2">
      <c r="A155" s="8">
        <v>50501003390003</v>
      </c>
      <c r="B155" s="9" t="s">
        <v>20</v>
      </c>
      <c r="C155" s="9" t="s">
        <v>21</v>
      </c>
      <c r="D155" s="9" t="s">
        <v>367</v>
      </c>
      <c r="E155" s="9" t="s">
        <v>31</v>
      </c>
      <c r="F155" s="9" t="s">
        <v>32</v>
      </c>
      <c r="G155" s="9">
        <v>28</v>
      </c>
      <c r="H155" s="9">
        <v>153</v>
      </c>
      <c r="I155" s="9">
        <v>131</v>
      </c>
      <c r="K155" s="9">
        <f t="shared" si="25"/>
        <v>0</v>
      </c>
      <c r="L155" s="9">
        <f t="shared" si="26"/>
        <v>0</v>
      </c>
      <c r="M155" s="9" t="s">
        <v>372</v>
      </c>
      <c r="N155" s="9" t="s">
        <v>373</v>
      </c>
      <c r="O155" s="9" t="s">
        <v>27</v>
      </c>
      <c r="P155" s="10">
        <v>0.56000000000000005</v>
      </c>
      <c r="Q155" s="11">
        <v>24.69</v>
      </c>
      <c r="R155" s="12">
        <f t="shared" si="27"/>
        <v>0</v>
      </c>
      <c r="S155" s="12">
        <f t="shared" si="28"/>
        <v>0</v>
      </c>
      <c r="T155" s="9" t="s">
        <v>694</v>
      </c>
    </row>
    <row r="156" spans="1:20" ht="12.75" customHeight="1" x14ac:dyDescent="0.2">
      <c r="A156" s="8">
        <v>50501003390004</v>
      </c>
      <c r="B156" s="9" t="s">
        <v>20</v>
      </c>
      <c r="C156" s="9" t="s">
        <v>21</v>
      </c>
      <c r="D156" s="9" t="s">
        <v>367</v>
      </c>
      <c r="E156" s="9" t="s">
        <v>31</v>
      </c>
      <c r="F156" s="9" t="s">
        <v>35</v>
      </c>
      <c r="G156" s="9">
        <v>28</v>
      </c>
      <c r="H156" s="9">
        <v>161</v>
      </c>
      <c r="I156" s="9">
        <v>139</v>
      </c>
      <c r="K156" s="9">
        <f t="shared" si="25"/>
        <v>0</v>
      </c>
      <c r="L156" s="9">
        <f t="shared" si="26"/>
        <v>0</v>
      </c>
      <c r="M156" s="9" t="s">
        <v>374</v>
      </c>
      <c r="N156" s="9" t="s">
        <v>375</v>
      </c>
      <c r="O156" s="9" t="s">
        <v>27</v>
      </c>
      <c r="P156" s="10">
        <v>0.67200000000000004</v>
      </c>
      <c r="Q156" s="11">
        <v>30.15</v>
      </c>
      <c r="R156" s="12">
        <f t="shared" si="27"/>
        <v>0</v>
      </c>
      <c r="S156" s="12">
        <f t="shared" si="28"/>
        <v>0</v>
      </c>
      <c r="T156" s="9" t="s">
        <v>695</v>
      </c>
    </row>
    <row r="157" spans="1:20" ht="12.75" customHeight="1" x14ac:dyDescent="0.2">
      <c r="A157" s="8">
        <v>50501003390005</v>
      </c>
      <c r="B157" s="9" t="s">
        <v>20</v>
      </c>
      <c r="C157" s="9" t="s">
        <v>21</v>
      </c>
      <c r="D157" s="9" t="s">
        <v>367</v>
      </c>
      <c r="E157" s="9" t="s">
        <v>31</v>
      </c>
      <c r="F157" s="9" t="s">
        <v>38</v>
      </c>
      <c r="G157" s="9">
        <v>28</v>
      </c>
      <c r="H157" s="9">
        <v>170</v>
      </c>
      <c r="I157" s="9">
        <v>147</v>
      </c>
      <c r="K157" s="9">
        <f t="shared" si="25"/>
        <v>0</v>
      </c>
      <c r="L157" s="9">
        <f t="shared" si="26"/>
        <v>0</v>
      </c>
      <c r="M157" s="9" t="s">
        <v>376</v>
      </c>
      <c r="N157" s="9" t="s">
        <v>377</v>
      </c>
      <c r="O157" s="9" t="s">
        <v>27</v>
      </c>
      <c r="P157" s="10">
        <v>0.745</v>
      </c>
      <c r="Q157" s="11">
        <v>34.119999999999997</v>
      </c>
      <c r="R157" s="12">
        <f t="shared" si="27"/>
        <v>0</v>
      </c>
      <c r="S157" s="12">
        <f t="shared" si="28"/>
        <v>0</v>
      </c>
      <c r="T157" s="9" t="s">
        <v>696</v>
      </c>
    </row>
    <row r="158" spans="1:20" ht="12.75" customHeight="1" x14ac:dyDescent="0.2">
      <c r="A158" s="8">
        <v>50501003390006</v>
      </c>
      <c r="B158" s="9" t="s">
        <v>20</v>
      </c>
      <c r="C158" s="9" t="s">
        <v>21</v>
      </c>
      <c r="D158" s="9" t="s">
        <v>367</v>
      </c>
      <c r="E158" s="9" t="s">
        <v>23</v>
      </c>
      <c r="F158" s="9" t="s">
        <v>41</v>
      </c>
      <c r="G158" s="9">
        <v>28</v>
      </c>
      <c r="H158" s="9">
        <v>169</v>
      </c>
      <c r="I158" s="9">
        <v>146</v>
      </c>
      <c r="K158" s="9">
        <f t="shared" si="25"/>
        <v>0</v>
      </c>
      <c r="L158" s="9">
        <f t="shared" si="26"/>
        <v>0</v>
      </c>
      <c r="M158" s="9" t="s">
        <v>378</v>
      </c>
      <c r="N158" s="9" t="s">
        <v>379</v>
      </c>
      <c r="O158" s="9" t="s">
        <v>27</v>
      </c>
      <c r="P158" s="10">
        <v>0.78400000000000003</v>
      </c>
      <c r="Q158" s="11">
        <v>36.76</v>
      </c>
      <c r="R158" s="12">
        <f t="shared" si="27"/>
        <v>0</v>
      </c>
      <c r="S158" s="12">
        <f t="shared" si="28"/>
        <v>0</v>
      </c>
      <c r="T158" s="9" t="s">
        <v>697</v>
      </c>
    </row>
    <row r="159" spans="1:20" ht="12.75" customHeight="1" x14ac:dyDescent="0.2">
      <c r="A159" s="8">
        <v>50501003390007</v>
      </c>
      <c r="B159" s="9" t="s">
        <v>20</v>
      </c>
      <c r="C159" s="9" t="s">
        <v>21</v>
      </c>
      <c r="D159" s="9" t="s">
        <v>367</v>
      </c>
      <c r="E159" s="9" t="s">
        <v>31</v>
      </c>
      <c r="F159" s="9" t="s">
        <v>44</v>
      </c>
      <c r="G159" s="9">
        <v>28</v>
      </c>
      <c r="H159" s="9">
        <v>176</v>
      </c>
      <c r="I159" s="9">
        <v>152</v>
      </c>
      <c r="K159" s="9">
        <f t="shared" si="25"/>
        <v>0</v>
      </c>
      <c r="L159" s="9">
        <f t="shared" si="26"/>
        <v>0</v>
      </c>
      <c r="M159" s="9" t="s">
        <v>380</v>
      </c>
      <c r="N159" s="9" t="s">
        <v>381</v>
      </c>
      <c r="O159" s="9" t="s">
        <v>27</v>
      </c>
      <c r="P159" s="10">
        <v>0.84</v>
      </c>
      <c r="Q159" s="11">
        <v>38.700000000000003</v>
      </c>
      <c r="R159" s="12">
        <f t="shared" si="27"/>
        <v>0</v>
      </c>
      <c r="S159" s="12">
        <f t="shared" si="28"/>
        <v>0</v>
      </c>
      <c r="T159" s="9" t="s">
        <v>698</v>
      </c>
    </row>
    <row r="160" spans="1:20" ht="12.75" customHeight="1" x14ac:dyDescent="0.2">
      <c r="A160" s="8">
        <v>50501003390008</v>
      </c>
      <c r="B160" s="9" t="s">
        <v>20</v>
      </c>
      <c r="C160" s="9" t="s">
        <v>21</v>
      </c>
      <c r="D160" s="9" t="s">
        <v>367</v>
      </c>
      <c r="E160" s="9" t="s">
        <v>31</v>
      </c>
      <c r="F160" s="9" t="s">
        <v>47</v>
      </c>
      <c r="G160" s="9">
        <v>28</v>
      </c>
      <c r="H160" s="9">
        <v>185</v>
      </c>
      <c r="I160" s="9">
        <v>159</v>
      </c>
      <c r="K160" s="9">
        <f t="shared" si="25"/>
        <v>0</v>
      </c>
      <c r="L160" s="9">
        <f t="shared" si="26"/>
        <v>0</v>
      </c>
      <c r="M160" s="9" t="s">
        <v>382</v>
      </c>
      <c r="N160" s="9" t="s">
        <v>383</v>
      </c>
      <c r="O160" s="9" t="s">
        <v>27</v>
      </c>
      <c r="P160" s="10">
        <v>0.89600000000000002</v>
      </c>
      <c r="Q160" s="11">
        <v>40.5</v>
      </c>
      <c r="R160" s="12">
        <f t="shared" si="27"/>
        <v>0</v>
      </c>
      <c r="S160" s="12">
        <f t="shared" si="28"/>
        <v>0</v>
      </c>
      <c r="T160" s="9" t="s">
        <v>699</v>
      </c>
    </row>
    <row r="161" spans="1:20" ht="12.75" customHeight="1" x14ac:dyDescent="0.2">
      <c r="A161" s="8">
        <v>50501003390009</v>
      </c>
      <c r="B161" s="9" t="s">
        <v>20</v>
      </c>
      <c r="C161" s="9" t="s">
        <v>21</v>
      </c>
      <c r="D161" s="9" t="s">
        <v>367</v>
      </c>
      <c r="E161" s="9" t="s">
        <v>31</v>
      </c>
      <c r="F161" s="9" t="s">
        <v>67</v>
      </c>
      <c r="G161" s="9">
        <v>28</v>
      </c>
      <c r="H161" s="9">
        <v>203</v>
      </c>
      <c r="I161" s="9">
        <v>175</v>
      </c>
      <c r="K161" s="9">
        <f t="shared" si="25"/>
        <v>0</v>
      </c>
      <c r="L161" s="9">
        <f t="shared" si="26"/>
        <v>0</v>
      </c>
      <c r="M161" s="9" t="s">
        <v>384</v>
      </c>
      <c r="N161" s="9" t="s">
        <v>385</v>
      </c>
      <c r="O161" s="9" t="s">
        <v>27</v>
      </c>
      <c r="P161" s="10">
        <v>1.008</v>
      </c>
      <c r="Q161" s="11">
        <v>44.24</v>
      </c>
      <c r="R161" s="12">
        <f t="shared" si="27"/>
        <v>0</v>
      </c>
      <c r="S161" s="12">
        <f t="shared" si="28"/>
        <v>0</v>
      </c>
      <c r="T161" s="9" t="s">
        <v>700</v>
      </c>
    </row>
    <row r="162" spans="1:20" ht="12.75" customHeight="1" x14ac:dyDescent="0.2">
      <c r="A162" s="8">
        <v>50501000790001</v>
      </c>
      <c r="B162" s="9" t="s">
        <v>20</v>
      </c>
      <c r="C162" s="9" t="s">
        <v>21</v>
      </c>
      <c r="D162" s="9" t="s">
        <v>386</v>
      </c>
      <c r="E162" s="9" t="s">
        <v>31</v>
      </c>
      <c r="F162" s="9" t="s">
        <v>24</v>
      </c>
      <c r="G162" s="9">
        <v>23</v>
      </c>
      <c r="H162" s="9">
        <v>67</v>
      </c>
      <c r="I162" s="9">
        <v>58</v>
      </c>
      <c r="K162" s="9">
        <f t="shared" si="25"/>
        <v>0</v>
      </c>
      <c r="L162" s="9">
        <f t="shared" si="26"/>
        <v>0</v>
      </c>
      <c r="M162" s="9" t="s">
        <v>387</v>
      </c>
      <c r="N162" s="9" t="s">
        <v>388</v>
      </c>
      <c r="O162" s="9" t="s">
        <v>27</v>
      </c>
      <c r="P162" s="10">
        <v>0.39400000000000002</v>
      </c>
      <c r="Q162" s="11">
        <v>19.579999999999998</v>
      </c>
      <c r="R162" s="12">
        <f t="shared" si="27"/>
        <v>0</v>
      </c>
      <c r="S162" s="12">
        <f t="shared" si="28"/>
        <v>0</v>
      </c>
      <c r="T162" s="9" t="s">
        <v>701</v>
      </c>
    </row>
    <row r="163" spans="1:20" ht="12.75" customHeight="1" x14ac:dyDescent="0.2">
      <c r="A163" s="8">
        <v>50501000790003</v>
      </c>
      <c r="B163" s="9" t="s">
        <v>20</v>
      </c>
      <c r="C163" s="9" t="s">
        <v>21</v>
      </c>
      <c r="D163" s="9" t="s">
        <v>386</v>
      </c>
      <c r="E163" s="9" t="s">
        <v>31</v>
      </c>
      <c r="F163" s="9" t="s">
        <v>32</v>
      </c>
      <c r="G163" s="9">
        <v>23</v>
      </c>
      <c r="H163" s="9">
        <v>70</v>
      </c>
      <c r="I163" s="9">
        <v>61</v>
      </c>
      <c r="K163" s="9">
        <f t="shared" si="25"/>
        <v>0</v>
      </c>
      <c r="L163" s="9">
        <f t="shared" si="26"/>
        <v>0</v>
      </c>
      <c r="M163" s="9" t="s">
        <v>389</v>
      </c>
      <c r="N163" s="9" t="s">
        <v>390</v>
      </c>
      <c r="O163" s="9" t="s">
        <v>27</v>
      </c>
      <c r="P163" s="10">
        <v>0.46</v>
      </c>
      <c r="Q163" s="11">
        <v>22.57</v>
      </c>
      <c r="R163" s="12">
        <f t="shared" si="27"/>
        <v>0</v>
      </c>
      <c r="S163" s="12">
        <f t="shared" si="28"/>
        <v>0</v>
      </c>
      <c r="T163" s="9" t="s">
        <v>702</v>
      </c>
    </row>
    <row r="164" spans="1:20" ht="12.75" customHeight="1" x14ac:dyDescent="0.2">
      <c r="A164" s="8">
        <v>50501000790004</v>
      </c>
      <c r="B164" s="9" t="s">
        <v>20</v>
      </c>
      <c r="C164" s="9" t="s">
        <v>21</v>
      </c>
      <c r="D164" s="9" t="s">
        <v>386</v>
      </c>
      <c r="E164" s="9" t="s">
        <v>31</v>
      </c>
      <c r="F164" s="9" t="s">
        <v>35</v>
      </c>
      <c r="G164" s="9">
        <v>23</v>
      </c>
      <c r="H164" s="9">
        <v>81</v>
      </c>
      <c r="I164" s="9">
        <v>70</v>
      </c>
      <c r="K164" s="9">
        <f t="shared" si="25"/>
        <v>0</v>
      </c>
      <c r="L164" s="9">
        <f t="shared" si="26"/>
        <v>0</v>
      </c>
      <c r="M164" s="9" t="s">
        <v>391</v>
      </c>
      <c r="N164" s="9" t="s">
        <v>392</v>
      </c>
      <c r="O164" s="9" t="s">
        <v>27</v>
      </c>
      <c r="P164" s="10">
        <v>0.55200000000000005</v>
      </c>
      <c r="Q164" s="11">
        <v>26.88</v>
      </c>
      <c r="R164" s="12">
        <f t="shared" si="27"/>
        <v>0</v>
      </c>
      <c r="S164" s="12">
        <f t="shared" si="28"/>
        <v>0</v>
      </c>
      <c r="T164" s="9" t="s">
        <v>703</v>
      </c>
    </row>
    <row r="165" spans="1:20" ht="12.75" customHeight="1" x14ac:dyDescent="0.2">
      <c r="A165" s="8">
        <v>50501000790005</v>
      </c>
      <c r="B165" s="9" t="s">
        <v>20</v>
      </c>
      <c r="C165" s="9" t="s">
        <v>21</v>
      </c>
      <c r="D165" s="9" t="s">
        <v>386</v>
      </c>
      <c r="E165" s="9" t="s">
        <v>31</v>
      </c>
      <c r="F165" s="9" t="s">
        <v>38</v>
      </c>
      <c r="G165" s="9">
        <v>23</v>
      </c>
      <c r="H165" s="9">
        <v>89</v>
      </c>
      <c r="I165" s="9">
        <v>77</v>
      </c>
      <c r="K165" s="9">
        <f t="shared" si="25"/>
        <v>0</v>
      </c>
      <c r="L165" s="9">
        <f t="shared" si="26"/>
        <v>0</v>
      </c>
      <c r="M165" s="9" t="s">
        <v>393</v>
      </c>
      <c r="N165" s="9" t="s">
        <v>394</v>
      </c>
      <c r="O165" s="9" t="s">
        <v>27</v>
      </c>
      <c r="P165" s="10">
        <v>0.61199999999999999</v>
      </c>
      <c r="Q165" s="11">
        <v>29.94</v>
      </c>
      <c r="R165" s="12">
        <f t="shared" si="27"/>
        <v>0</v>
      </c>
      <c r="S165" s="12">
        <f t="shared" si="28"/>
        <v>0</v>
      </c>
      <c r="T165" s="9" t="s">
        <v>704</v>
      </c>
    </row>
    <row r="166" spans="1:20" ht="12.75" customHeight="1" x14ac:dyDescent="0.2">
      <c r="A166" s="8">
        <v>50501000790006</v>
      </c>
      <c r="B166" s="9" t="s">
        <v>20</v>
      </c>
      <c r="C166" s="9" t="s">
        <v>21</v>
      </c>
      <c r="D166" s="9" t="s">
        <v>386</v>
      </c>
      <c r="E166" s="9" t="s">
        <v>23</v>
      </c>
      <c r="F166" s="9" t="s">
        <v>41</v>
      </c>
      <c r="G166" s="9">
        <v>23</v>
      </c>
      <c r="H166" s="9">
        <v>89</v>
      </c>
      <c r="I166" s="9">
        <v>77</v>
      </c>
      <c r="K166" s="9">
        <f t="shared" si="25"/>
        <v>0</v>
      </c>
      <c r="L166" s="9">
        <f t="shared" si="26"/>
        <v>0</v>
      </c>
      <c r="M166" s="9" t="s">
        <v>395</v>
      </c>
      <c r="N166" s="9" t="s">
        <v>396</v>
      </c>
      <c r="O166" s="9" t="s">
        <v>27</v>
      </c>
      <c r="P166" s="10">
        <v>0.64400000000000002</v>
      </c>
      <c r="Q166" s="11">
        <v>30.31</v>
      </c>
      <c r="R166" s="12">
        <f t="shared" si="27"/>
        <v>0</v>
      </c>
      <c r="S166" s="12">
        <f t="shared" si="28"/>
        <v>0</v>
      </c>
      <c r="T166" s="9" t="s">
        <v>705</v>
      </c>
    </row>
    <row r="167" spans="1:20" ht="12.75" customHeight="1" x14ac:dyDescent="0.2">
      <c r="A167" s="8">
        <v>50501000790007</v>
      </c>
      <c r="B167" s="9" t="s">
        <v>20</v>
      </c>
      <c r="C167" s="9" t="s">
        <v>21</v>
      </c>
      <c r="D167" s="9" t="s">
        <v>386</v>
      </c>
      <c r="E167" s="9" t="s">
        <v>31</v>
      </c>
      <c r="F167" s="9" t="s">
        <v>44</v>
      </c>
      <c r="G167" s="9">
        <v>23</v>
      </c>
      <c r="H167" s="9">
        <v>96</v>
      </c>
      <c r="I167" s="9">
        <v>83</v>
      </c>
      <c r="K167" s="9">
        <f t="shared" si="25"/>
        <v>0</v>
      </c>
      <c r="L167" s="9">
        <f t="shared" si="26"/>
        <v>0</v>
      </c>
      <c r="M167" s="9" t="s">
        <v>397</v>
      </c>
      <c r="N167" s="9" t="s">
        <v>398</v>
      </c>
      <c r="O167" s="9" t="s">
        <v>27</v>
      </c>
      <c r="P167" s="10">
        <v>0.69</v>
      </c>
      <c r="Q167" s="11">
        <v>33.36</v>
      </c>
      <c r="R167" s="12">
        <f t="shared" si="27"/>
        <v>0</v>
      </c>
      <c r="S167" s="12">
        <f t="shared" si="28"/>
        <v>0</v>
      </c>
      <c r="T167" s="9" t="s">
        <v>706</v>
      </c>
    </row>
    <row r="168" spans="1:20" ht="12.75" customHeight="1" x14ac:dyDescent="0.2">
      <c r="A168" s="8">
        <v>50501000790008</v>
      </c>
      <c r="B168" s="9" t="s">
        <v>20</v>
      </c>
      <c r="C168" s="9" t="s">
        <v>21</v>
      </c>
      <c r="D168" s="9" t="s">
        <v>386</v>
      </c>
      <c r="E168" s="9" t="s">
        <v>31</v>
      </c>
      <c r="F168" s="9" t="s">
        <v>47</v>
      </c>
      <c r="G168" s="9">
        <v>23</v>
      </c>
      <c r="H168" s="9">
        <v>102</v>
      </c>
      <c r="I168" s="9">
        <v>88</v>
      </c>
      <c r="K168" s="9">
        <f t="shared" si="25"/>
        <v>0</v>
      </c>
      <c r="L168" s="9">
        <f t="shared" si="26"/>
        <v>0</v>
      </c>
      <c r="M168" s="9" t="s">
        <v>399</v>
      </c>
      <c r="N168" s="9" t="s">
        <v>400</v>
      </c>
      <c r="O168" s="9" t="s">
        <v>27</v>
      </c>
      <c r="P168" s="10">
        <v>0.73599999999999999</v>
      </c>
      <c r="Q168" s="11">
        <v>35.520000000000003</v>
      </c>
      <c r="R168" s="12">
        <f t="shared" si="27"/>
        <v>0</v>
      </c>
      <c r="S168" s="12">
        <f t="shared" si="28"/>
        <v>0</v>
      </c>
      <c r="T168" s="9" t="s">
        <v>707</v>
      </c>
    </row>
    <row r="169" spans="1:20" ht="12.75" customHeight="1" x14ac:dyDescent="0.2">
      <c r="A169" s="8">
        <v>50501003260068</v>
      </c>
      <c r="B169" s="9" t="s">
        <v>20</v>
      </c>
      <c r="C169" s="9" t="s">
        <v>21</v>
      </c>
      <c r="D169" s="9" t="s">
        <v>401</v>
      </c>
      <c r="E169" s="9" t="s">
        <v>23</v>
      </c>
      <c r="F169" s="9" t="s">
        <v>93</v>
      </c>
      <c r="H169" s="9">
        <v>600</v>
      </c>
      <c r="I169" s="9">
        <v>517</v>
      </c>
      <c r="K169" s="9">
        <f t="shared" ref="K169:K200" si="29">H169*J169</f>
        <v>0</v>
      </c>
      <c r="L169" s="9">
        <f t="shared" ref="L169:L200" si="30">J169*I169</f>
        <v>0</v>
      </c>
      <c r="M169" s="9" t="s">
        <v>402</v>
      </c>
      <c r="N169" s="9" t="s">
        <v>403</v>
      </c>
      <c r="O169" s="9" t="s">
        <v>404</v>
      </c>
      <c r="P169" s="10">
        <v>0.44800000000000001</v>
      </c>
      <c r="Q169" s="11">
        <v>35.840000000000003</v>
      </c>
      <c r="R169" s="12">
        <f t="shared" ref="R169:R200" si="31">P169*J169</f>
        <v>0</v>
      </c>
      <c r="S169" s="12">
        <f t="shared" ref="S169:S200" si="32">Q169*J169</f>
        <v>0</v>
      </c>
      <c r="T169" s="9" t="s">
        <v>708</v>
      </c>
    </row>
    <row r="170" spans="1:20" ht="12.75" customHeight="1" x14ac:dyDescent="0.2">
      <c r="A170" s="8">
        <v>50501003260069</v>
      </c>
      <c r="B170" s="9" t="s">
        <v>20</v>
      </c>
      <c r="C170" s="9" t="s">
        <v>21</v>
      </c>
      <c r="D170" s="9" t="s">
        <v>401</v>
      </c>
      <c r="E170" s="9" t="s">
        <v>23</v>
      </c>
      <c r="F170" s="9" t="s">
        <v>24</v>
      </c>
      <c r="H170" s="9">
        <v>604</v>
      </c>
      <c r="I170" s="9">
        <v>521</v>
      </c>
      <c r="K170" s="9">
        <f t="shared" si="29"/>
        <v>0</v>
      </c>
      <c r="L170" s="9">
        <f t="shared" si="30"/>
        <v>0</v>
      </c>
      <c r="M170" s="9" t="s">
        <v>405</v>
      </c>
      <c r="N170" s="9" t="s">
        <v>406</v>
      </c>
      <c r="O170" s="9" t="s">
        <v>404</v>
      </c>
      <c r="P170" s="10">
        <v>0.47899999999999998</v>
      </c>
      <c r="Q170" s="11">
        <v>38.520000000000003</v>
      </c>
      <c r="R170" s="12">
        <f t="shared" si="31"/>
        <v>0</v>
      </c>
      <c r="S170" s="12">
        <f t="shared" si="32"/>
        <v>0</v>
      </c>
      <c r="T170" s="9" t="s">
        <v>709</v>
      </c>
    </row>
    <row r="171" spans="1:20" ht="12.75" customHeight="1" x14ac:dyDescent="0.2">
      <c r="A171" s="8">
        <v>50501003260070</v>
      </c>
      <c r="B171" s="9" t="s">
        <v>20</v>
      </c>
      <c r="C171" s="9" t="s">
        <v>21</v>
      </c>
      <c r="D171" s="9" t="s">
        <v>401</v>
      </c>
      <c r="E171" s="9" t="s">
        <v>23</v>
      </c>
      <c r="F171" s="9" t="s">
        <v>28</v>
      </c>
      <c r="H171" s="9">
        <v>617</v>
      </c>
      <c r="I171" s="9">
        <v>531</v>
      </c>
      <c r="K171" s="9">
        <f t="shared" si="29"/>
        <v>0</v>
      </c>
      <c r="L171" s="9">
        <f t="shared" si="30"/>
        <v>0</v>
      </c>
      <c r="M171" s="9" t="s">
        <v>407</v>
      </c>
      <c r="N171" s="9" t="s">
        <v>408</v>
      </c>
      <c r="O171" s="9" t="s">
        <v>404</v>
      </c>
      <c r="P171" s="10">
        <v>0.504</v>
      </c>
      <c r="Q171" s="11">
        <v>40.54</v>
      </c>
      <c r="R171" s="12">
        <f t="shared" si="31"/>
        <v>0</v>
      </c>
      <c r="S171" s="12">
        <f t="shared" si="32"/>
        <v>0</v>
      </c>
      <c r="T171" s="9" t="s">
        <v>710</v>
      </c>
    </row>
    <row r="172" spans="1:20" ht="12.75" customHeight="1" x14ac:dyDescent="0.2">
      <c r="A172" s="8">
        <v>50501003260071</v>
      </c>
      <c r="B172" s="9" t="s">
        <v>20</v>
      </c>
      <c r="C172" s="9" t="s">
        <v>21</v>
      </c>
      <c r="D172" s="9" t="s">
        <v>401</v>
      </c>
      <c r="E172" s="9" t="s">
        <v>23</v>
      </c>
      <c r="F172" s="9" t="s">
        <v>32</v>
      </c>
      <c r="H172" s="9">
        <v>614</v>
      </c>
      <c r="I172" s="9">
        <v>530</v>
      </c>
      <c r="K172" s="9">
        <f t="shared" si="29"/>
        <v>0</v>
      </c>
      <c r="L172" s="9">
        <f t="shared" si="30"/>
        <v>0</v>
      </c>
      <c r="M172" s="9" t="s">
        <v>409</v>
      </c>
      <c r="N172" s="9" t="s">
        <v>410</v>
      </c>
      <c r="O172" s="9" t="s">
        <v>404</v>
      </c>
      <c r="P172" s="10">
        <v>0.56000000000000005</v>
      </c>
      <c r="Q172" s="11">
        <v>45.05</v>
      </c>
      <c r="R172" s="12">
        <f t="shared" si="31"/>
        <v>0</v>
      </c>
      <c r="S172" s="12">
        <f t="shared" si="32"/>
        <v>0</v>
      </c>
      <c r="T172" s="9" t="s">
        <v>711</v>
      </c>
    </row>
    <row r="173" spans="1:20" ht="12.75" customHeight="1" x14ac:dyDescent="0.2">
      <c r="A173" s="8">
        <v>50501003260072</v>
      </c>
      <c r="B173" s="9" t="s">
        <v>20</v>
      </c>
      <c r="C173" s="9" t="s">
        <v>21</v>
      </c>
      <c r="D173" s="9" t="s">
        <v>401</v>
      </c>
      <c r="E173" s="9" t="s">
        <v>23</v>
      </c>
      <c r="F173" s="9" t="s">
        <v>35</v>
      </c>
      <c r="H173" s="9">
        <v>790</v>
      </c>
      <c r="I173" s="9">
        <v>681</v>
      </c>
      <c r="K173" s="9">
        <f t="shared" si="29"/>
        <v>0</v>
      </c>
      <c r="L173" s="9">
        <f t="shared" si="30"/>
        <v>0</v>
      </c>
      <c r="M173" s="9" t="s">
        <v>411</v>
      </c>
      <c r="N173" s="9" t="s">
        <v>412</v>
      </c>
      <c r="O173" s="9" t="s">
        <v>404</v>
      </c>
      <c r="P173" s="10">
        <v>0.67200000000000004</v>
      </c>
      <c r="Q173" s="11">
        <v>54.06</v>
      </c>
      <c r="R173" s="12">
        <f t="shared" si="31"/>
        <v>0</v>
      </c>
      <c r="S173" s="12">
        <f t="shared" si="32"/>
        <v>0</v>
      </c>
      <c r="T173" s="9" t="s">
        <v>712</v>
      </c>
    </row>
    <row r="174" spans="1:20" ht="12.75" customHeight="1" x14ac:dyDescent="0.2">
      <c r="A174" s="8">
        <v>50501000870001</v>
      </c>
      <c r="B174" s="9" t="s">
        <v>20</v>
      </c>
      <c r="C174" s="9" t="s">
        <v>21</v>
      </c>
      <c r="D174" s="9" t="s">
        <v>413</v>
      </c>
      <c r="E174" s="9" t="s">
        <v>23</v>
      </c>
      <c r="F174" s="9" t="s">
        <v>24</v>
      </c>
      <c r="H174" s="9">
        <v>69</v>
      </c>
      <c r="I174" s="9">
        <v>60</v>
      </c>
      <c r="K174" s="9">
        <f t="shared" si="29"/>
        <v>0</v>
      </c>
      <c r="L174" s="9">
        <f t="shared" si="30"/>
        <v>0</v>
      </c>
      <c r="M174" s="9" t="s">
        <v>414</v>
      </c>
      <c r="N174" s="9" t="s">
        <v>415</v>
      </c>
      <c r="O174" s="9" t="s">
        <v>27</v>
      </c>
      <c r="P174" s="10">
        <v>0.125</v>
      </c>
      <c r="Q174" s="11">
        <v>17.309999999999999</v>
      </c>
      <c r="R174" s="12">
        <f t="shared" si="31"/>
        <v>0</v>
      </c>
      <c r="S174" s="12">
        <f t="shared" si="32"/>
        <v>0</v>
      </c>
      <c r="T174" s="9" t="s">
        <v>713</v>
      </c>
    </row>
    <row r="175" spans="1:20" ht="12.75" customHeight="1" x14ac:dyDescent="0.2">
      <c r="A175" s="8">
        <v>50501000870002</v>
      </c>
      <c r="B175" s="9" t="s">
        <v>20</v>
      </c>
      <c r="C175" s="9" t="s">
        <v>21</v>
      </c>
      <c r="D175" s="9" t="s">
        <v>413</v>
      </c>
      <c r="E175" s="9" t="s">
        <v>23</v>
      </c>
      <c r="F175" s="9" t="s">
        <v>28</v>
      </c>
      <c r="H175" s="9">
        <v>72</v>
      </c>
      <c r="I175" s="9">
        <v>62</v>
      </c>
      <c r="K175" s="9">
        <f t="shared" si="29"/>
        <v>0</v>
      </c>
      <c r="L175" s="9">
        <f t="shared" si="30"/>
        <v>0</v>
      </c>
      <c r="M175" s="9" t="s">
        <v>416</v>
      </c>
      <c r="N175" s="9" t="s">
        <v>417</v>
      </c>
      <c r="O175" s="9" t="s">
        <v>27</v>
      </c>
      <c r="P175" s="10">
        <v>0.125</v>
      </c>
      <c r="Q175" s="11">
        <v>18.329999999999998</v>
      </c>
      <c r="R175" s="12">
        <f t="shared" si="31"/>
        <v>0</v>
      </c>
      <c r="S175" s="12">
        <f t="shared" si="32"/>
        <v>0</v>
      </c>
      <c r="T175" s="9" t="s">
        <v>714</v>
      </c>
    </row>
    <row r="176" spans="1:20" ht="12.75" customHeight="1" x14ac:dyDescent="0.2">
      <c r="A176" s="8">
        <v>50501000870008</v>
      </c>
      <c r="B176" s="9" t="s">
        <v>20</v>
      </c>
      <c r="C176" s="9" t="s">
        <v>21</v>
      </c>
      <c r="D176" s="9" t="s">
        <v>413</v>
      </c>
      <c r="E176" s="9" t="s">
        <v>23</v>
      </c>
      <c r="F176" s="9" t="s">
        <v>32</v>
      </c>
      <c r="H176" s="9">
        <v>76</v>
      </c>
      <c r="I176" s="9">
        <v>66</v>
      </c>
      <c r="K176" s="9">
        <f t="shared" si="29"/>
        <v>0</v>
      </c>
      <c r="L176" s="9">
        <f t="shared" si="30"/>
        <v>0</v>
      </c>
      <c r="M176" s="9" t="s">
        <v>418</v>
      </c>
      <c r="N176" s="9" t="s">
        <v>419</v>
      </c>
      <c r="O176" s="9" t="s">
        <v>27</v>
      </c>
      <c r="P176" s="10">
        <v>0.13800000000000001</v>
      </c>
      <c r="Q176" s="11">
        <v>19.63</v>
      </c>
      <c r="R176" s="12">
        <f t="shared" si="31"/>
        <v>0</v>
      </c>
      <c r="S176" s="12">
        <f t="shared" si="32"/>
        <v>0</v>
      </c>
      <c r="T176" s="9" t="s">
        <v>715</v>
      </c>
    </row>
    <row r="177" spans="1:20" ht="12.75" customHeight="1" x14ac:dyDescent="0.2">
      <c r="A177" s="8">
        <v>50501000870003</v>
      </c>
      <c r="B177" s="9" t="s">
        <v>20</v>
      </c>
      <c r="C177" s="9" t="s">
        <v>21</v>
      </c>
      <c r="D177" s="9" t="s">
        <v>413</v>
      </c>
      <c r="E177" s="9" t="s">
        <v>23</v>
      </c>
      <c r="F177" s="9" t="s">
        <v>35</v>
      </c>
      <c r="H177" s="9">
        <v>87</v>
      </c>
      <c r="I177" s="9">
        <v>75</v>
      </c>
      <c r="K177" s="9">
        <f t="shared" si="29"/>
        <v>0</v>
      </c>
      <c r="L177" s="9">
        <f t="shared" si="30"/>
        <v>0</v>
      </c>
      <c r="M177" s="9" t="s">
        <v>420</v>
      </c>
      <c r="N177" s="9" t="s">
        <v>421</v>
      </c>
      <c r="O177" s="9" t="s">
        <v>27</v>
      </c>
      <c r="P177" s="10">
        <v>0.16200000000000001</v>
      </c>
      <c r="Q177" s="11">
        <v>23.55</v>
      </c>
      <c r="R177" s="12">
        <f t="shared" si="31"/>
        <v>0</v>
      </c>
      <c r="S177" s="12">
        <f t="shared" si="32"/>
        <v>0</v>
      </c>
      <c r="T177" s="9" t="s">
        <v>716</v>
      </c>
    </row>
    <row r="178" spans="1:20" ht="12.75" customHeight="1" x14ac:dyDescent="0.2">
      <c r="A178" s="8">
        <v>50501000870004</v>
      </c>
      <c r="B178" s="9" t="s">
        <v>20</v>
      </c>
      <c r="C178" s="9" t="s">
        <v>21</v>
      </c>
      <c r="D178" s="9" t="s">
        <v>413</v>
      </c>
      <c r="E178" s="9" t="s">
        <v>23</v>
      </c>
      <c r="F178" s="9" t="s">
        <v>38</v>
      </c>
      <c r="H178" s="9">
        <v>95</v>
      </c>
      <c r="I178" s="9">
        <v>82</v>
      </c>
      <c r="K178" s="9">
        <f t="shared" si="29"/>
        <v>0</v>
      </c>
      <c r="L178" s="9">
        <f t="shared" si="30"/>
        <v>0</v>
      </c>
      <c r="M178" s="9" t="s">
        <v>422</v>
      </c>
      <c r="N178" s="9" t="s">
        <v>423</v>
      </c>
      <c r="O178" s="9" t="s">
        <v>27</v>
      </c>
      <c r="P178" s="10">
        <v>0.187</v>
      </c>
      <c r="Q178" s="11">
        <v>26.4</v>
      </c>
      <c r="R178" s="12">
        <f t="shared" si="31"/>
        <v>0</v>
      </c>
      <c r="S178" s="12">
        <f t="shared" si="32"/>
        <v>0</v>
      </c>
      <c r="T178" s="9" t="s">
        <v>717</v>
      </c>
    </row>
    <row r="179" spans="1:20" ht="12.75" customHeight="1" x14ac:dyDescent="0.2">
      <c r="A179" s="8">
        <v>50501000870005</v>
      </c>
      <c r="B179" s="9" t="s">
        <v>20</v>
      </c>
      <c r="C179" s="9" t="s">
        <v>21</v>
      </c>
      <c r="D179" s="9" t="s">
        <v>413</v>
      </c>
      <c r="E179" s="9" t="s">
        <v>23</v>
      </c>
      <c r="F179" s="9" t="s">
        <v>41</v>
      </c>
      <c r="H179" s="9">
        <v>95</v>
      </c>
      <c r="I179" s="9">
        <v>82</v>
      </c>
      <c r="K179" s="9">
        <f t="shared" si="29"/>
        <v>0</v>
      </c>
      <c r="L179" s="9">
        <f t="shared" si="30"/>
        <v>0</v>
      </c>
      <c r="M179" s="9" t="s">
        <v>424</v>
      </c>
      <c r="N179" s="9" t="s">
        <v>425</v>
      </c>
      <c r="O179" s="9" t="s">
        <v>27</v>
      </c>
      <c r="P179" s="10">
        <v>0.187</v>
      </c>
      <c r="Q179" s="11">
        <v>27.91</v>
      </c>
      <c r="R179" s="12">
        <f t="shared" si="31"/>
        <v>0</v>
      </c>
      <c r="S179" s="12">
        <f t="shared" si="32"/>
        <v>0</v>
      </c>
      <c r="T179" s="9" t="s">
        <v>718</v>
      </c>
    </row>
    <row r="180" spans="1:20" ht="12.75" customHeight="1" x14ac:dyDescent="0.2">
      <c r="A180" s="8">
        <v>50501000870009</v>
      </c>
      <c r="B180" s="9" t="s">
        <v>20</v>
      </c>
      <c r="C180" s="9" t="s">
        <v>21</v>
      </c>
      <c r="D180" s="9" t="s">
        <v>413</v>
      </c>
      <c r="E180" s="9" t="s">
        <v>23</v>
      </c>
      <c r="F180" s="9" t="s">
        <v>44</v>
      </c>
      <c r="H180" s="9">
        <v>102</v>
      </c>
      <c r="I180" s="9">
        <v>88</v>
      </c>
      <c r="K180" s="9">
        <f t="shared" si="29"/>
        <v>0</v>
      </c>
      <c r="L180" s="9">
        <f t="shared" si="30"/>
        <v>0</v>
      </c>
      <c r="M180" s="9" t="s">
        <v>426</v>
      </c>
      <c r="N180" s="9" t="s">
        <v>427</v>
      </c>
      <c r="O180" s="9" t="s">
        <v>27</v>
      </c>
      <c r="P180" s="10">
        <v>0.19900000000000001</v>
      </c>
      <c r="Q180" s="11">
        <v>28.684999999999999</v>
      </c>
      <c r="R180" s="12">
        <f t="shared" si="31"/>
        <v>0</v>
      </c>
      <c r="S180" s="12">
        <f t="shared" si="32"/>
        <v>0</v>
      </c>
      <c r="T180" s="9" t="s">
        <v>719</v>
      </c>
    </row>
    <row r="181" spans="1:20" ht="12.75" customHeight="1" x14ac:dyDescent="0.2">
      <c r="A181" s="8">
        <v>50501000870006</v>
      </c>
      <c r="B181" s="9" t="s">
        <v>20</v>
      </c>
      <c r="C181" s="9" t="s">
        <v>21</v>
      </c>
      <c r="D181" s="9" t="s">
        <v>413</v>
      </c>
      <c r="E181" s="9" t="s">
        <v>23</v>
      </c>
      <c r="F181" s="9" t="s">
        <v>47</v>
      </c>
      <c r="H181" s="9">
        <v>108</v>
      </c>
      <c r="I181" s="9">
        <v>94</v>
      </c>
      <c r="K181" s="9">
        <f t="shared" si="29"/>
        <v>0</v>
      </c>
      <c r="L181" s="9">
        <f t="shared" si="30"/>
        <v>0</v>
      </c>
      <c r="M181" s="9" t="s">
        <v>428</v>
      </c>
      <c r="N181" s="9" t="s">
        <v>429</v>
      </c>
      <c r="O181" s="9" t="s">
        <v>27</v>
      </c>
      <c r="P181" s="10">
        <v>0.21099999999999999</v>
      </c>
      <c r="Q181" s="11">
        <v>31.43</v>
      </c>
      <c r="R181" s="12">
        <f t="shared" si="31"/>
        <v>0</v>
      </c>
      <c r="S181" s="12">
        <f t="shared" si="32"/>
        <v>0</v>
      </c>
      <c r="T181" s="9" t="s">
        <v>720</v>
      </c>
    </row>
    <row r="182" spans="1:20" ht="12.75" customHeight="1" x14ac:dyDescent="0.2">
      <c r="A182" s="8">
        <v>50501000870007</v>
      </c>
      <c r="B182" s="9" t="s">
        <v>20</v>
      </c>
      <c r="C182" s="9" t="s">
        <v>21</v>
      </c>
      <c r="D182" s="9" t="s">
        <v>413</v>
      </c>
      <c r="E182" s="9" t="s">
        <v>23</v>
      </c>
      <c r="F182" s="9" t="s">
        <v>67</v>
      </c>
      <c r="H182" s="9">
        <v>118</v>
      </c>
      <c r="I182" s="9">
        <v>102</v>
      </c>
      <c r="K182" s="9">
        <f t="shared" si="29"/>
        <v>0</v>
      </c>
      <c r="L182" s="9">
        <f t="shared" si="30"/>
        <v>0</v>
      </c>
      <c r="M182" s="9" t="s">
        <v>430</v>
      </c>
      <c r="N182" s="9" t="s">
        <v>431</v>
      </c>
      <c r="O182" s="9" t="s">
        <v>27</v>
      </c>
      <c r="P182" s="10">
        <v>0.23599999999999999</v>
      </c>
      <c r="Q182" s="11">
        <v>34.94</v>
      </c>
      <c r="R182" s="12">
        <f t="shared" si="31"/>
        <v>0</v>
      </c>
      <c r="S182" s="12">
        <f t="shared" si="32"/>
        <v>0</v>
      </c>
      <c r="T182" s="9" t="s">
        <v>721</v>
      </c>
    </row>
    <row r="183" spans="1:20" ht="12.75" customHeight="1" x14ac:dyDescent="0.2">
      <c r="A183" s="8">
        <v>50501000870010</v>
      </c>
      <c r="B183" s="9" t="s">
        <v>20</v>
      </c>
      <c r="C183" s="9" t="s">
        <v>21</v>
      </c>
      <c r="D183" s="9" t="s">
        <v>413</v>
      </c>
      <c r="E183" s="9" t="s">
        <v>23</v>
      </c>
      <c r="F183" s="9" t="s">
        <v>89</v>
      </c>
      <c r="H183" s="9">
        <v>130</v>
      </c>
      <c r="I183" s="9">
        <v>112</v>
      </c>
      <c r="K183" s="9">
        <f t="shared" si="29"/>
        <v>0</v>
      </c>
      <c r="L183" s="9">
        <f t="shared" si="30"/>
        <v>0</v>
      </c>
      <c r="M183" s="9" t="s">
        <v>432</v>
      </c>
      <c r="N183" s="9" t="s">
        <v>433</v>
      </c>
      <c r="O183" s="9" t="s">
        <v>27</v>
      </c>
      <c r="P183" s="10">
        <v>0.26</v>
      </c>
      <c r="Q183" s="11">
        <v>38.246000000000002</v>
      </c>
      <c r="R183" s="12">
        <f t="shared" si="31"/>
        <v>0</v>
      </c>
      <c r="S183" s="12">
        <f t="shared" si="32"/>
        <v>0</v>
      </c>
      <c r="T183" s="9" t="s">
        <v>722</v>
      </c>
    </row>
    <row r="184" spans="1:20" ht="12.75" customHeight="1" x14ac:dyDescent="0.2">
      <c r="A184" s="8">
        <v>50501000910001</v>
      </c>
      <c r="B184" s="9" t="s">
        <v>20</v>
      </c>
      <c r="C184" s="9" t="s">
        <v>21</v>
      </c>
      <c r="D184" s="9" t="s">
        <v>434</v>
      </c>
      <c r="E184" s="9" t="s">
        <v>31</v>
      </c>
      <c r="F184" s="9" t="s">
        <v>24</v>
      </c>
      <c r="G184" s="9">
        <v>28</v>
      </c>
      <c r="H184" s="9">
        <v>117</v>
      </c>
      <c r="I184" s="9">
        <v>101</v>
      </c>
      <c r="K184" s="9">
        <f t="shared" si="29"/>
        <v>0</v>
      </c>
      <c r="L184" s="9">
        <f t="shared" si="30"/>
        <v>0</v>
      </c>
      <c r="M184" s="9" t="s">
        <v>435</v>
      </c>
      <c r="N184" s="9" t="s">
        <v>436</v>
      </c>
      <c r="O184" s="9" t="s">
        <v>27</v>
      </c>
      <c r="P184" s="10">
        <v>0.47899999999999998</v>
      </c>
      <c r="Q184" s="11">
        <v>20.68</v>
      </c>
      <c r="R184" s="12">
        <f t="shared" si="31"/>
        <v>0</v>
      </c>
      <c r="S184" s="12">
        <f t="shared" si="32"/>
        <v>0</v>
      </c>
      <c r="T184" s="9" t="s">
        <v>723</v>
      </c>
    </row>
    <row r="185" spans="1:20" ht="12.75" customHeight="1" x14ac:dyDescent="0.2">
      <c r="A185" s="8">
        <v>50501000910002</v>
      </c>
      <c r="B185" s="9" t="s">
        <v>20</v>
      </c>
      <c r="C185" s="9" t="s">
        <v>21</v>
      </c>
      <c r="D185" s="9" t="s">
        <v>434</v>
      </c>
      <c r="E185" s="9" t="s">
        <v>31</v>
      </c>
      <c r="F185" s="9" t="s">
        <v>32</v>
      </c>
      <c r="G185" s="9">
        <v>28</v>
      </c>
      <c r="H185" s="9">
        <v>125</v>
      </c>
      <c r="I185" s="9">
        <v>108</v>
      </c>
      <c r="K185" s="9">
        <f t="shared" si="29"/>
        <v>0</v>
      </c>
      <c r="L185" s="9">
        <f t="shared" si="30"/>
        <v>0</v>
      </c>
      <c r="M185" s="9" t="s">
        <v>437</v>
      </c>
      <c r="N185" s="9" t="s">
        <v>438</v>
      </c>
      <c r="O185" s="9" t="s">
        <v>27</v>
      </c>
      <c r="P185" s="10">
        <v>0.56000000000000005</v>
      </c>
      <c r="Q185" s="11">
        <v>23.9</v>
      </c>
      <c r="R185" s="12">
        <f t="shared" si="31"/>
        <v>0</v>
      </c>
      <c r="S185" s="12">
        <f t="shared" si="32"/>
        <v>0</v>
      </c>
      <c r="T185" s="9" t="s">
        <v>724</v>
      </c>
    </row>
    <row r="186" spans="1:20" ht="12.75" customHeight="1" x14ac:dyDescent="0.2">
      <c r="A186" s="8">
        <v>50501000910003</v>
      </c>
      <c r="B186" s="9" t="s">
        <v>20</v>
      </c>
      <c r="C186" s="9" t="s">
        <v>21</v>
      </c>
      <c r="D186" s="9" t="s">
        <v>434</v>
      </c>
      <c r="E186" s="9" t="s">
        <v>31</v>
      </c>
      <c r="F186" s="9" t="s">
        <v>35</v>
      </c>
      <c r="G186" s="9">
        <v>28</v>
      </c>
      <c r="H186" s="9">
        <v>142</v>
      </c>
      <c r="I186" s="9">
        <v>122</v>
      </c>
      <c r="K186" s="9">
        <f t="shared" si="29"/>
        <v>0</v>
      </c>
      <c r="L186" s="9">
        <f t="shared" si="30"/>
        <v>0</v>
      </c>
      <c r="M186" s="9" t="s">
        <v>439</v>
      </c>
      <c r="N186" s="9" t="s">
        <v>440</v>
      </c>
      <c r="O186" s="9" t="s">
        <v>27</v>
      </c>
      <c r="P186" s="10">
        <v>0.67200000000000004</v>
      </c>
      <c r="Q186" s="11">
        <v>28.55</v>
      </c>
      <c r="R186" s="12">
        <f t="shared" si="31"/>
        <v>0</v>
      </c>
      <c r="S186" s="12">
        <f t="shared" si="32"/>
        <v>0</v>
      </c>
      <c r="T186" s="9" t="s">
        <v>725</v>
      </c>
    </row>
    <row r="187" spans="1:20" ht="12.75" customHeight="1" x14ac:dyDescent="0.2">
      <c r="A187" s="8">
        <v>50501000910004</v>
      </c>
      <c r="B187" s="9" t="s">
        <v>20</v>
      </c>
      <c r="C187" s="9" t="s">
        <v>21</v>
      </c>
      <c r="D187" s="9" t="s">
        <v>434</v>
      </c>
      <c r="E187" s="9" t="s">
        <v>31</v>
      </c>
      <c r="F187" s="9" t="s">
        <v>38</v>
      </c>
      <c r="G187" s="9">
        <v>28</v>
      </c>
      <c r="H187" s="9">
        <v>157</v>
      </c>
      <c r="I187" s="9">
        <v>135</v>
      </c>
      <c r="K187" s="9">
        <f t="shared" si="29"/>
        <v>0</v>
      </c>
      <c r="L187" s="9">
        <f t="shared" si="30"/>
        <v>0</v>
      </c>
      <c r="M187" s="9" t="s">
        <v>441</v>
      </c>
      <c r="N187" s="9" t="s">
        <v>442</v>
      </c>
      <c r="O187" s="9" t="s">
        <v>27</v>
      </c>
      <c r="P187" s="10">
        <v>0.745</v>
      </c>
      <c r="Q187" s="11">
        <v>32</v>
      </c>
      <c r="R187" s="12">
        <f t="shared" si="31"/>
        <v>0</v>
      </c>
      <c r="S187" s="12">
        <f t="shared" si="32"/>
        <v>0</v>
      </c>
      <c r="T187" s="9" t="s">
        <v>726</v>
      </c>
    </row>
    <row r="188" spans="1:20" ht="12.75" customHeight="1" x14ac:dyDescent="0.2">
      <c r="A188" s="8">
        <v>50501000910005</v>
      </c>
      <c r="B188" s="9" t="s">
        <v>20</v>
      </c>
      <c r="C188" s="9" t="s">
        <v>21</v>
      </c>
      <c r="D188" s="9" t="s">
        <v>434</v>
      </c>
      <c r="E188" s="9" t="s">
        <v>31</v>
      </c>
      <c r="F188" s="9" t="s">
        <v>44</v>
      </c>
      <c r="G188" s="9">
        <v>28</v>
      </c>
      <c r="H188" s="9">
        <v>166</v>
      </c>
      <c r="I188" s="9">
        <v>143</v>
      </c>
      <c r="K188" s="9">
        <f t="shared" si="29"/>
        <v>0</v>
      </c>
      <c r="L188" s="9">
        <f t="shared" si="30"/>
        <v>0</v>
      </c>
      <c r="M188" s="9" t="s">
        <v>443</v>
      </c>
      <c r="N188" s="9" t="s">
        <v>444</v>
      </c>
      <c r="O188" s="9" t="s">
        <v>27</v>
      </c>
      <c r="P188" s="10">
        <v>0.84</v>
      </c>
      <c r="Q188" s="11">
        <v>35.69</v>
      </c>
      <c r="R188" s="12">
        <f t="shared" si="31"/>
        <v>0</v>
      </c>
      <c r="S188" s="12">
        <f t="shared" si="32"/>
        <v>0</v>
      </c>
      <c r="T188" s="9" t="s">
        <v>727</v>
      </c>
    </row>
    <row r="189" spans="1:20" ht="12.75" customHeight="1" x14ac:dyDescent="0.2">
      <c r="A189" s="8">
        <v>50501000910009</v>
      </c>
      <c r="B189" s="9" t="s">
        <v>20</v>
      </c>
      <c r="C189" s="9" t="s">
        <v>21</v>
      </c>
      <c r="D189" s="9" t="s">
        <v>434</v>
      </c>
      <c r="E189" s="9" t="s">
        <v>31</v>
      </c>
      <c r="F189" s="9" t="s">
        <v>47</v>
      </c>
      <c r="G189" s="9">
        <v>28</v>
      </c>
      <c r="H189" s="9">
        <v>175</v>
      </c>
      <c r="I189" s="9">
        <v>151</v>
      </c>
      <c r="K189" s="9">
        <f t="shared" si="29"/>
        <v>0</v>
      </c>
      <c r="L189" s="9">
        <f t="shared" si="30"/>
        <v>0</v>
      </c>
      <c r="M189" s="9" t="s">
        <v>445</v>
      </c>
      <c r="N189" s="9" t="s">
        <v>446</v>
      </c>
      <c r="O189" s="9" t="s">
        <v>27</v>
      </c>
      <c r="P189" s="10">
        <v>0.89600000000000002</v>
      </c>
      <c r="Q189" s="11">
        <v>38.1</v>
      </c>
      <c r="R189" s="12">
        <f t="shared" si="31"/>
        <v>0</v>
      </c>
      <c r="S189" s="12">
        <f t="shared" si="32"/>
        <v>0</v>
      </c>
      <c r="T189" s="9" t="s">
        <v>728</v>
      </c>
    </row>
    <row r="190" spans="1:20" ht="12.75" customHeight="1" x14ac:dyDescent="0.2">
      <c r="A190" s="8">
        <v>50501000910010</v>
      </c>
      <c r="B190" s="9" t="s">
        <v>20</v>
      </c>
      <c r="C190" s="9" t="s">
        <v>21</v>
      </c>
      <c r="D190" s="9" t="s">
        <v>434</v>
      </c>
      <c r="E190" s="9" t="s">
        <v>23</v>
      </c>
      <c r="F190" s="9" t="s">
        <v>67</v>
      </c>
      <c r="G190" s="9">
        <v>28</v>
      </c>
      <c r="H190" s="9">
        <v>190</v>
      </c>
      <c r="I190" s="9">
        <v>164</v>
      </c>
      <c r="K190" s="9">
        <f t="shared" si="29"/>
        <v>0</v>
      </c>
      <c r="L190" s="9">
        <f t="shared" si="30"/>
        <v>0</v>
      </c>
      <c r="M190" s="9" t="s">
        <v>447</v>
      </c>
      <c r="N190" s="9" t="s">
        <v>448</v>
      </c>
      <c r="O190" s="9" t="s">
        <v>27</v>
      </c>
      <c r="P190" s="10">
        <v>1.008</v>
      </c>
      <c r="Q190" s="11">
        <v>42.14</v>
      </c>
      <c r="R190" s="12">
        <f t="shared" si="31"/>
        <v>0</v>
      </c>
      <c r="S190" s="12">
        <f t="shared" si="32"/>
        <v>0</v>
      </c>
      <c r="T190" s="9" t="s">
        <v>729</v>
      </c>
    </row>
    <row r="191" spans="1:20" ht="12.75" customHeight="1" x14ac:dyDescent="0.2">
      <c r="A191" s="8">
        <v>50501002860001</v>
      </c>
      <c r="B191" s="9" t="s">
        <v>20</v>
      </c>
      <c r="C191" s="9" t="s">
        <v>21</v>
      </c>
      <c r="D191" s="9" t="s">
        <v>449</v>
      </c>
      <c r="E191" s="9" t="s">
        <v>31</v>
      </c>
      <c r="F191" s="9" t="s">
        <v>93</v>
      </c>
      <c r="H191" s="9">
        <v>58</v>
      </c>
      <c r="I191" s="9">
        <v>50</v>
      </c>
      <c r="K191" s="9">
        <f t="shared" si="29"/>
        <v>0</v>
      </c>
      <c r="L191" s="9">
        <f t="shared" si="30"/>
        <v>0</v>
      </c>
      <c r="M191" s="9" t="s">
        <v>450</v>
      </c>
      <c r="N191" s="9" t="s">
        <v>451</v>
      </c>
      <c r="O191" s="9" t="s">
        <v>27</v>
      </c>
      <c r="P191" s="10">
        <v>0.36799999999999999</v>
      </c>
      <c r="Q191" s="11">
        <v>14.93</v>
      </c>
      <c r="R191" s="12">
        <f t="shared" si="31"/>
        <v>0</v>
      </c>
      <c r="S191" s="12">
        <f t="shared" si="32"/>
        <v>0</v>
      </c>
      <c r="T191" s="9" t="s">
        <v>730</v>
      </c>
    </row>
    <row r="192" spans="1:20" ht="12.75" customHeight="1" x14ac:dyDescent="0.2">
      <c r="A192" s="8">
        <v>50501002860002</v>
      </c>
      <c r="B192" s="9" t="s">
        <v>20</v>
      </c>
      <c r="C192" s="9" t="s">
        <v>21</v>
      </c>
      <c r="D192" s="9" t="s">
        <v>449</v>
      </c>
      <c r="E192" s="9" t="s">
        <v>31</v>
      </c>
      <c r="F192" s="9" t="s">
        <v>24</v>
      </c>
      <c r="H192" s="9">
        <v>61</v>
      </c>
      <c r="I192" s="9">
        <v>53</v>
      </c>
      <c r="K192" s="9">
        <f t="shared" si="29"/>
        <v>0</v>
      </c>
      <c r="L192" s="9">
        <f t="shared" si="30"/>
        <v>0</v>
      </c>
      <c r="M192" s="9" t="s">
        <v>452</v>
      </c>
      <c r="N192" s="9" t="s">
        <v>453</v>
      </c>
      <c r="O192" s="9" t="s">
        <v>27</v>
      </c>
      <c r="P192" s="10">
        <v>0.39300000000000002</v>
      </c>
      <c r="Q192" s="11">
        <v>16.48</v>
      </c>
      <c r="R192" s="12">
        <f t="shared" si="31"/>
        <v>0</v>
      </c>
      <c r="S192" s="12">
        <f t="shared" si="32"/>
        <v>0</v>
      </c>
      <c r="T192" s="9" t="s">
        <v>731</v>
      </c>
    </row>
    <row r="193" spans="1:20" ht="12.75" customHeight="1" x14ac:dyDescent="0.2">
      <c r="A193" s="8">
        <v>50501002860003</v>
      </c>
      <c r="B193" s="9" t="s">
        <v>20</v>
      </c>
      <c r="C193" s="9" t="s">
        <v>21</v>
      </c>
      <c r="D193" s="9" t="s">
        <v>449</v>
      </c>
      <c r="E193" s="9" t="s">
        <v>31</v>
      </c>
      <c r="F193" s="9" t="s">
        <v>28</v>
      </c>
      <c r="H193" s="9">
        <v>63</v>
      </c>
      <c r="I193" s="9">
        <v>54</v>
      </c>
      <c r="K193" s="9">
        <f t="shared" si="29"/>
        <v>0</v>
      </c>
      <c r="L193" s="9">
        <f t="shared" si="30"/>
        <v>0</v>
      </c>
      <c r="M193" s="9" t="s">
        <v>454</v>
      </c>
      <c r="N193" s="9" t="s">
        <v>455</v>
      </c>
      <c r="O193" s="9" t="s">
        <v>27</v>
      </c>
      <c r="P193" s="10">
        <v>0.41399999999999998</v>
      </c>
      <c r="Q193" s="11">
        <v>17.25</v>
      </c>
      <c r="R193" s="12">
        <f t="shared" si="31"/>
        <v>0</v>
      </c>
      <c r="S193" s="12">
        <f t="shared" si="32"/>
        <v>0</v>
      </c>
      <c r="T193" s="9" t="s">
        <v>732</v>
      </c>
    </row>
    <row r="194" spans="1:20" ht="12.75" customHeight="1" x14ac:dyDescent="0.2">
      <c r="A194" s="8">
        <v>50501002860004</v>
      </c>
      <c r="B194" s="9" t="s">
        <v>20</v>
      </c>
      <c r="C194" s="9" t="s">
        <v>21</v>
      </c>
      <c r="D194" s="9" t="s">
        <v>449</v>
      </c>
      <c r="E194" s="9" t="s">
        <v>31</v>
      </c>
      <c r="F194" s="9" t="s">
        <v>32</v>
      </c>
      <c r="H194" s="9">
        <v>68</v>
      </c>
      <c r="I194" s="9">
        <v>59</v>
      </c>
      <c r="K194" s="9">
        <f t="shared" si="29"/>
        <v>0</v>
      </c>
      <c r="L194" s="9">
        <f t="shared" si="30"/>
        <v>0</v>
      </c>
      <c r="M194" s="9" t="s">
        <v>456</v>
      </c>
      <c r="N194" s="9" t="s">
        <v>457</v>
      </c>
      <c r="O194" s="9" t="s">
        <v>27</v>
      </c>
      <c r="P194" s="10">
        <v>0.46</v>
      </c>
      <c r="Q194" s="11">
        <v>19.170000000000002</v>
      </c>
      <c r="R194" s="12">
        <f t="shared" si="31"/>
        <v>0</v>
      </c>
      <c r="S194" s="12">
        <f t="shared" si="32"/>
        <v>0</v>
      </c>
      <c r="T194" s="9" t="s">
        <v>733</v>
      </c>
    </row>
    <row r="195" spans="1:20" ht="12.75" customHeight="1" x14ac:dyDescent="0.2">
      <c r="A195" s="8">
        <v>50501002860005</v>
      </c>
      <c r="B195" s="9" t="s">
        <v>20</v>
      </c>
      <c r="C195" s="9" t="s">
        <v>21</v>
      </c>
      <c r="D195" s="9" t="s">
        <v>449</v>
      </c>
      <c r="E195" s="9" t="s">
        <v>31</v>
      </c>
      <c r="F195" s="9" t="s">
        <v>35</v>
      </c>
      <c r="H195" s="9">
        <v>78</v>
      </c>
      <c r="I195" s="9">
        <v>68</v>
      </c>
      <c r="K195" s="9">
        <f t="shared" si="29"/>
        <v>0</v>
      </c>
      <c r="L195" s="9">
        <f t="shared" si="30"/>
        <v>0</v>
      </c>
      <c r="M195" s="9" t="s">
        <v>458</v>
      </c>
      <c r="N195" s="9" t="s">
        <v>459</v>
      </c>
      <c r="O195" s="9" t="s">
        <v>27</v>
      </c>
      <c r="P195" s="10">
        <v>0.55200000000000005</v>
      </c>
      <c r="Q195" s="11">
        <v>22.62</v>
      </c>
      <c r="R195" s="12">
        <f t="shared" si="31"/>
        <v>0</v>
      </c>
      <c r="S195" s="12">
        <f t="shared" si="32"/>
        <v>0</v>
      </c>
      <c r="T195" s="9" t="s">
        <v>734</v>
      </c>
    </row>
    <row r="196" spans="1:20" ht="12.75" customHeight="1" x14ac:dyDescent="0.2">
      <c r="A196" s="8">
        <v>50501002860006</v>
      </c>
      <c r="B196" s="9" t="s">
        <v>20</v>
      </c>
      <c r="C196" s="9" t="s">
        <v>21</v>
      </c>
      <c r="D196" s="9" t="s">
        <v>449</v>
      </c>
      <c r="E196" s="9" t="s">
        <v>31</v>
      </c>
      <c r="F196" s="9" t="s">
        <v>38</v>
      </c>
      <c r="H196" s="9">
        <v>86</v>
      </c>
      <c r="I196" s="9">
        <v>74</v>
      </c>
      <c r="K196" s="9">
        <f t="shared" si="29"/>
        <v>0</v>
      </c>
      <c r="L196" s="9">
        <f t="shared" si="30"/>
        <v>0</v>
      </c>
      <c r="M196" s="9" t="s">
        <v>460</v>
      </c>
      <c r="N196" s="9" t="s">
        <v>461</v>
      </c>
      <c r="O196" s="9" t="s">
        <v>27</v>
      </c>
      <c r="P196" s="10">
        <v>0.61199999999999999</v>
      </c>
      <c r="Q196" s="11">
        <v>25.27</v>
      </c>
      <c r="R196" s="12">
        <f t="shared" si="31"/>
        <v>0</v>
      </c>
      <c r="S196" s="12">
        <f t="shared" si="32"/>
        <v>0</v>
      </c>
      <c r="T196" s="9" t="s">
        <v>735</v>
      </c>
    </row>
    <row r="197" spans="1:20" ht="12.75" customHeight="1" x14ac:dyDescent="0.2">
      <c r="A197" s="8">
        <v>50501002860007</v>
      </c>
      <c r="B197" s="9" t="s">
        <v>20</v>
      </c>
      <c r="C197" s="9" t="s">
        <v>21</v>
      </c>
      <c r="D197" s="9" t="s">
        <v>449</v>
      </c>
      <c r="E197" s="9" t="s">
        <v>31</v>
      </c>
      <c r="F197" s="9" t="s">
        <v>44</v>
      </c>
      <c r="H197" s="9">
        <v>94</v>
      </c>
      <c r="I197" s="9">
        <v>81</v>
      </c>
      <c r="K197" s="9">
        <f t="shared" si="29"/>
        <v>0</v>
      </c>
      <c r="L197" s="9">
        <f t="shared" si="30"/>
        <v>0</v>
      </c>
      <c r="M197" s="9" t="s">
        <v>462</v>
      </c>
      <c r="N197" s="9" t="s">
        <v>463</v>
      </c>
      <c r="O197" s="9" t="s">
        <v>27</v>
      </c>
      <c r="P197" s="10">
        <v>0.69</v>
      </c>
      <c r="Q197" s="11">
        <v>27.89</v>
      </c>
      <c r="R197" s="12">
        <f t="shared" si="31"/>
        <v>0</v>
      </c>
      <c r="S197" s="12">
        <f t="shared" si="32"/>
        <v>0</v>
      </c>
      <c r="T197" s="9" t="s">
        <v>736</v>
      </c>
    </row>
    <row r="198" spans="1:20" ht="12.75" customHeight="1" x14ac:dyDescent="0.2">
      <c r="A198" s="8">
        <v>50501002860008</v>
      </c>
      <c r="B198" s="9" t="s">
        <v>20</v>
      </c>
      <c r="C198" s="9" t="s">
        <v>21</v>
      </c>
      <c r="D198" s="9" t="s">
        <v>449</v>
      </c>
      <c r="E198" s="9" t="s">
        <v>31</v>
      </c>
      <c r="F198" s="9" t="s">
        <v>47</v>
      </c>
      <c r="H198" s="9">
        <v>99</v>
      </c>
      <c r="I198" s="9">
        <v>85</v>
      </c>
      <c r="K198" s="9">
        <f t="shared" si="29"/>
        <v>0</v>
      </c>
      <c r="L198" s="9">
        <f t="shared" si="30"/>
        <v>0</v>
      </c>
      <c r="M198" s="9" t="s">
        <v>464</v>
      </c>
      <c r="N198" s="9" t="s">
        <v>465</v>
      </c>
      <c r="O198" s="9" t="s">
        <v>27</v>
      </c>
      <c r="P198" s="10">
        <v>0.73599999999999999</v>
      </c>
      <c r="Q198" s="11">
        <v>30.15</v>
      </c>
      <c r="R198" s="12">
        <f t="shared" si="31"/>
        <v>0</v>
      </c>
      <c r="S198" s="12">
        <f t="shared" si="32"/>
        <v>0</v>
      </c>
      <c r="T198" s="9" t="s">
        <v>737</v>
      </c>
    </row>
    <row r="199" spans="1:20" ht="12.75" customHeight="1" x14ac:dyDescent="0.2">
      <c r="A199" s="8">
        <v>50501002010001</v>
      </c>
      <c r="B199" s="9" t="s">
        <v>20</v>
      </c>
      <c r="C199" s="9" t="s">
        <v>21</v>
      </c>
      <c r="D199" s="9" t="s">
        <v>466</v>
      </c>
      <c r="E199" s="9" t="s">
        <v>31</v>
      </c>
      <c r="F199" s="9" t="s">
        <v>24</v>
      </c>
      <c r="G199" s="9">
        <v>28</v>
      </c>
      <c r="H199" s="9">
        <v>98</v>
      </c>
      <c r="I199" s="9">
        <v>85</v>
      </c>
      <c r="K199" s="9">
        <f t="shared" si="29"/>
        <v>0</v>
      </c>
      <c r="L199" s="9">
        <f t="shared" si="30"/>
        <v>0</v>
      </c>
      <c r="M199" s="9" t="s">
        <v>467</v>
      </c>
      <c r="N199" s="9" t="s">
        <v>468</v>
      </c>
      <c r="O199" s="9" t="s">
        <v>27</v>
      </c>
      <c r="P199" s="10">
        <v>0.42699999999999999</v>
      </c>
      <c r="Q199" s="11">
        <v>18.832000000000001</v>
      </c>
      <c r="R199" s="12">
        <f t="shared" si="31"/>
        <v>0</v>
      </c>
      <c r="S199" s="12">
        <f t="shared" si="32"/>
        <v>0</v>
      </c>
      <c r="T199" s="9" t="s">
        <v>738</v>
      </c>
    </row>
    <row r="200" spans="1:20" ht="12.75" customHeight="1" x14ac:dyDescent="0.2">
      <c r="A200" s="8">
        <v>50501002010002</v>
      </c>
      <c r="B200" s="9" t="s">
        <v>20</v>
      </c>
      <c r="C200" s="9" t="s">
        <v>21</v>
      </c>
      <c r="D200" s="9" t="s">
        <v>466</v>
      </c>
      <c r="E200" s="9" t="s">
        <v>31</v>
      </c>
      <c r="F200" s="9" t="s">
        <v>32</v>
      </c>
      <c r="G200" s="9">
        <v>28</v>
      </c>
      <c r="H200" s="9">
        <v>106</v>
      </c>
      <c r="I200" s="9">
        <v>92</v>
      </c>
      <c r="K200" s="9">
        <f t="shared" si="29"/>
        <v>0</v>
      </c>
      <c r="L200" s="9">
        <f t="shared" si="30"/>
        <v>0</v>
      </c>
      <c r="M200" s="9" t="s">
        <v>469</v>
      </c>
      <c r="N200" s="9" t="s">
        <v>470</v>
      </c>
      <c r="O200" s="9" t="s">
        <v>27</v>
      </c>
      <c r="P200" s="10">
        <v>0.5</v>
      </c>
      <c r="Q200" s="11">
        <v>23.209</v>
      </c>
      <c r="R200" s="12">
        <f t="shared" si="31"/>
        <v>0</v>
      </c>
      <c r="S200" s="12">
        <f t="shared" si="32"/>
        <v>0</v>
      </c>
      <c r="T200" s="9" t="s">
        <v>739</v>
      </c>
    </row>
    <row r="201" spans="1:20" ht="12.75" customHeight="1" x14ac:dyDescent="0.2">
      <c r="A201" s="8">
        <v>50501002010003</v>
      </c>
      <c r="B201" s="9" t="s">
        <v>20</v>
      </c>
      <c r="C201" s="9" t="s">
        <v>21</v>
      </c>
      <c r="D201" s="9" t="s">
        <v>466</v>
      </c>
      <c r="E201" s="9" t="s">
        <v>31</v>
      </c>
      <c r="F201" s="9" t="s">
        <v>35</v>
      </c>
      <c r="G201" s="9">
        <v>28</v>
      </c>
      <c r="H201" s="9">
        <v>121</v>
      </c>
      <c r="I201" s="9">
        <v>105</v>
      </c>
      <c r="K201" s="9">
        <f t="shared" ref="K201:K232" si="33">H201*J201</f>
        <v>0</v>
      </c>
      <c r="L201" s="9">
        <f t="shared" ref="L201:L233" si="34">J201*I201</f>
        <v>0</v>
      </c>
      <c r="M201" s="9" t="s">
        <v>471</v>
      </c>
      <c r="N201" s="9" t="s">
        <v>472</v>
      </c>
      <c r="O201" s="9" t="s">
        <v>27</v>
      </c>
      <c r="P201" s="10">
        <v>0.6</v>
      </c>
      <c r="Q201" s="11">
        <v>27.37</v>
      </c>
      <c r="R201" s="12">
        <f t="shared" ref="R201:R233" si="35">P201*J201</f>
        <v>0</v>
      </c>
      <c r="S201" s="12">
        <f t="shared" ref="S201:S233" si="36">Q201*J201</f>
        <v>0</v>
      </c>
      <c r="T201" s="9" t="s">
        <v>740</v>
      </c>
    </row>
    <row r="202" spans="1:20" ht="12.75" customHeight="1" x14ac:dyDescent="0.2">
      <c r="A202" s="8">
        <v>50501002010004</v>
      </c>
      <c r="B202" s="9" t="s">
        <v>20</v>
      </c>
      <c r="C202" s="9" t="s">
        <v>21</v>
      </c>
      <c r="D202" s="9" t="s">
        <v>466</v>
      </c>
      <c r="E202" s="9" t="s">
        <v>31</v>
      </c>
      <c r="F202" s="9" t="s">
        <v>38</v>
      </c>
      <c r="G202" s="9">
        <v>28</v>
      </c>
      <c r="H202" s="9">
        <v>138</v>
      </c>
      <c r="I202" s="9">
        <v>119</v>
      </c>
      <c r="K202" s="9">
        <f t="shared" si="33"/>
        <v>0</v>
      </c>
      <c r="L202" s="9">
        <f t="shared" si="34"/>
        <v>0</v>
      </c>
      <c r="M202" s="9" t="s">
        <v>473</v>
      </c>
      <c r="N202" s="9" t="s">
        <v>474</v>
      </c>
      <c r="O202" s="9" t="s">
        <v>27</v>
      </c>
      <c r="P202" s="10">
        <v>0.66500000000000004</v>
      </c>
      <c r="Q202" s="11">
        <v>30.838000000000001</v>
      </c>
      <c r="R202" s="12">
        <f t="shared" si="35"/>
        <v>0</v>
      </c>
      <c r="S202" s="12">
        <f t="shared" si="36"/>
        <v>0</v>
      </c>
      <c r="T202" s="9" t="s">
        <v>741</v>
      </c>
    </row>
    <row r="203" spans="1:20" ht="12.75" customHeight="1" x14ac:dyDescent="0.2">
      <c r="A203" s="8">
        <v>50501002010008</v>
      </c>
      <c r="B203" s="9" t="s">
        <v>20</v>
      </c>
      <c r="C203" s="9" t="s">
        <v>21</v>
      </c>
      <c r="D203" s="9" t="s">
        <v>466</v>
      </c>
      <c r="E203" s="9" t="s">
        <v>23</v>
      </c>
      <c r="F203" s="9" t="s">
        <v>41</v>
      </c>
      <c r="G203" s="9">
        <v>28</v>
      </c>
      <c r="H203" s="9">
        <v>138</v>
      </c>
      <c r="I203" s="9">
        <v>119</v>
      </c>
      <c r="K203" s="9">
        <f t="shared" si="33"/>
        <v>0</v>
      </c>
      <c r="L203" s="9">
        <f t="shared" si="34"/>
        <v>0</v>
      </c>
      <c r="M203" s="9" t="s">
        <v>475</v>
      </c>
      <c r="N203" s="9" t="s">
        <v>476</v>
      </c>
      <c r="O203" s="9" t="s">
        <v>27</v>
      </c>
      <c r="P203" s="10">
        <v>0.7</v>
      </c>
      <c r="Q203" s="11">
        <v>1E-3</v>
      </c>
      <c r="R203" s="12">
        <f t="shared" si="35"/>
        <v>0</v>
      </c>
      <c r="S203" s="12">
        <f t="shared" si="36"/>
        <v>0</v>
      </c>
      <c r="T203" s="9" t="s">
        <v>742</v>
      </c>
    </row>
    <row r="204" spans="1:20" ht="12.75" customHeight="1" x14ac:dyDescent="0.2">
      <c r="A204" s="8">
        <v>50501002010005</v>
      </c>
      <c r="B204" s="9" t="s">
        <v>20</v>
      </c>
      <c r="C204" s="9" t="s">
        <v>21</v>
      </c>
      <c r="D204" s="9" t="s">
        <v>466</v>
      </c>
      <c r="E204" s="9" t="s">
        <v>31</v>
      </c>
      <c r="F204" s="9" t="s">
        <v>44</v>
      </c>
      <c r="G204" s="9">
        <v>28</v>
      </c>
      <c r="H204" s="9">
        <v>144</v>
      </c>
      <c r="I204" s="9">
        <v>124</v>
      </c>
      <c r="K204" s="9">
        <f t="shared" si="33"/>
        <v>0</v>
      </c>
      <c r="L204" s="9">
        <f t="shared" si="34"/>
        <v>0</v>
      </c>
      <c r="M204" s="9" t="s">
        <v>477</v>
      </c>
      <c r="N204" s="9" t="s">
        <v>478</v>
      </c>
      <c r="O204" s="9" t="s">
        <v>27</v>
      </c>
      <c r="P204" s="10">
        <v>0.75</v>
      </c>
      <c r="Q204" s="11">
        <v>34.515999999999998</v>
      </c>
      <c r="R204" s="12">
        <f t="shared" si="35"/>
        <v>0</v>
      </c>
      <c r="S204" s="12">
        <f t="shared" si="36"/>
        <v>0</v>
      </c>
      <c r="T204" s="9" t="s">
        <v>743</v>
      </c>
    </row>
    <row r="205" spans="1:20" ht="12.75" customHeight="1" x14ac:dyDescent="0.2">
      <c r="A205" s="8">
        <v>50501002010006</v>
      </c>
      <c r="B205" s="9" t="s">
        <v>20</v>
      </c>
      <c r="C205" s="9" t="s">
        <v>21</v>
      </c>
      <c r="D205" s="9" t="s">
        <v>466</v>
      </c>
      <c r="E205" s="9" t="s">
        <v>31</v>
      </c>
      <c r="F205" s="9" t="s">
        <v>47</v>
      </c>
      <c r="G205" s="9">
        <v>28</v>
      </c>
      <c r="H205" s="9">
        <v>151</v>
      </c>
      <c r="I205" s="9">
        <v>130</v>
      </c>
      <c r="K205" s="9">
        <f t="shared" si="33"/>
        <v>0</v>
      </c>
      <c r="L205" s="9">
        <f t="shared" si="34"/>
        <v>0</v>
      </c>
      <c r="M205" s="9" t="s">
        <v>479</v>
      </c>
      <c r="N205" s="9" t="s">
        <v>480</v>
      </c>
      <c r="O205" s="9" t="s">
        <v>27</v>
      </c>
      <c r="P205" s="10">
        <v>0.8</v>
      </c>
      <c r="Q205" s="11">
        <v>36.845999999999997</v>
      </c>
      <c r="R205" s="12">
        <f t="shared" si="35"/>
        <v>0</v>
      </c>
      <c r="S205" s="12">
        <f t="shared" si="36"/>
        <v>0</v>
      </c>
      <c r="T205" s="9" t="s">
        <v>744</v>
      </c>
    </row>
    <row r="206" spans="1:20" ht="12.75" customHeight="1" x14ac:dyDescent="0.2">
      <c r="A206" s="8">
        <v>50501000001960</v>
      </c>
      <c r="B206" s="9" t="s">
        <v>20</v>
      </c>
      <c r="C206" s="9" t="s">
        <v>21</v>
      </c>
      <c r="D206" s="9" t="s">
        <v>481</v>
      </c>
      <c r="E206" s="9" t="s">
        <v>23</v>
      </c>
      <c r="F206" s="9" t="s">
        <v>24</v>
      </c>
      <c r="G206" s="9">
        <v>16</v>
      </c>
      <c r="H206" s="9">
        <v>78</v>
      </c>
      <c r="I206" s="9">
        <v>67</v>
      </c>
      <c r="K206" s="9">
        <f t="shared" si="33"/>
        <v>0</v>
      </c>
      <c r="L206" s="9">
        <f t="shared" si="34"/>
        <v>0</v>
      </c>
      <c r="M206" s="9" t="s">
        <v>482</v>
      </c>
      <c r="N206" s="9" t="s">
        <v>483</v>
      </c>
      <c r="O206" s="9" t="s">
        <v>166</v>
      </c>
      <c r="P206" s="10">
        <v>0.41099999999999998</v>
      </c>
      <c r="Q206" s="11">
        <v>16.198</v>
      </c>
      <c r="R206" s="12">
        <f t="shared" si="35"/>
        <v>0</v>
      </c>
      <c r="S206" s="12">
        <f t="shared" si="36"/>
        <v>0</v>
      </c>
      <c r="T206" s="9" t="s">
        <v>745</v>
      </c>
    </row>
    <row r="207" spans="1:20" ht="12.75" customHeight="1" x14ac:dyDescent="0.2">
      <c r="A207" s="8">
        <v>50501000001962</v>
      </c>
      <c r="B207" s="9" t="s">
        <v>20</v>
      </c>
      <c r="C207" s="9" t="s">
        <v>21</v>
      </c>
      <c r="D207" s="9" t="s">
        <v>481</v>
      </c>
      <c r="E207" s="9" t="s">
        <v>23</v>
      </c>
      <c r="F207" s="9" t="s">
        <v>32</v>
      </c>
      <c r="G207" s="9">
        <v>16</v>
      </c>
      <c r="H207" s="9">
        <v>90</v>
      </c>
      <c r="I207" s="9">
        <v>77</v>
      </c>
      <c r="K207" s="9">
        <f t="shared" si="33"/>
        <v>0</v>
      </c>
      <c r="L207" s="9">
        <f t="shared" si="34"/>
        <v>0</v>
      </c>
      <c r="M207" s="9" t="s">
        <v>484</v>
      </c>
      <c r="N207" s="9" t="s">
        <v>485</v>
      </c>
      <c r="O207" s="9" t="s">
        <v>166</v>
      </c>
      <c r="P207" s="10">
        <v>0.48</v>
      </c>
      <c r="Q207" s="11">
        <v>18.638999999999999</v>
      </c>
      <c r="R207" s="12">
        <f t="shared" si="35"/>
        <v>0</v>
      </c>
      <c r="S207" s="12">
        <f t="shared" si="36"/>
        <v>0</v>
      </c>
      <c r="T207" s="9" t="s">
        <v>746</v>
      </c>
    </row>
    <row r="208" spans="1:20" ht="12.75" customHeight="1" x14ac:dyDescent="0.2">
      <c r="A208" s="8">
        <v>50501000001963</v>
      </c>
      <c r="B208" s="9" t="s">
        <v>20</v>
      </c>
      <c r="C208" s="9" t="s">
        <v>21</v>
      </c>
      <c r="D208" s="9" t="s">
        <v>481</v>
      </c>
      <c r="E208" s="9" t="s">
        <v>23</v>
      </c>
      <c r="F208" s="9" t="s">
        <v>35</v>
      </c>
      <c r="G208" s="9">
        <v>16</v>
      </c>
      <c r="H208" s="9">
        <v>101</v>
      </c>
      <c r="I208" s="9">
        <v>87</v>
      </c>
      <c r="K208" s="9">
        <f t="shared" si="33"/>
        <v>0</v>
      </c>
      <c r="L208" s="9">
        <f t="shared" si="34"/>
        <v>0</v>
      </c>
      <c r="M208" s="9" t="s">
        <v>486</v>
      </c>
      <c r="N208" s="9" t="s">
        <v>487</v>
      </c>
      <c r="O208" s="9" t="s">
        <v>166</v>
      </c>
      <c r="P208" s="10">
        <v>0.57599999999999996</v>
      </c>
      <c r="Q208" s="11">
        <v>22.088000000000001</v>
      </c>
      <c r="R208" s="12">
        <f t="shared" si="35"/>
        <v>0</v>
      </c>
      <c r="S208" s="12">
        <f t="shared" si="36"/>
        <v>0</v>
      </c>
      <c r="T208" s="9" t="s">
        <v>747</v>
      </c>
    </row>
    <row r="209" spans="1:20" ht="12.75" customHeight="1" x14ac:dyDescent="0.2">
      <c r="A209" s="8">
        <v>50501000001964</v>
      </c>
      <c r="B209" s="9" t="s">
        <v>20</v>
      </c>
      <c r="C209" s="9" t="s">
        <v>21</v>
      </c>
      <c r="D209" s="9" t="s">
        <v>481</v>
      </c>
      <c r="E209" s="9" t="s">
        <v>23</v>
      </c>
      <c r="F209" s="9" t="s">
        <v>38</v>
      </c>
      <c r="G209" s="9">
        <v>16</v>
      </c>
      <c r="H209" s="9">
        <v>109</v>
      </c>
      <c r="I209" s="9">
        <v>94</v>
      </c>
      <c r="K209" s="9">
        <f t="shared" si="33"/>
        <v>0</v>
      </c>
      <c r="L209" s="9">
        <f t="shared" si="34"/>
        <v>0</v>
      </c>
      <c r="M209" s="9" t="s">
        <v>488</v>
      </c>
      <c r="N209" s="9" t="s">
        <v>489</v>
      </c>
      <c r="O209" s="9" t="s">
        <v>166</v>
      </c>
      <c r="P209" s="10">
        <v>0.63900000000000001</v>
      </c>
      <c r="Q209" s="11">
        <v>24.757000000000001</v>
      </c>
      <c r="R209" s="12">
        <f t="shared" si="35"/>
        <v>0</v>
      </c>
      <c r="S209" s="12">
        <f t="shared" si="36"/>
        <v>0</v>
      </c>
      <c r="T209" s="9" t="s">
        <v>748</v>
      </c>
    </row>
    <row r="210" spans="1:20" ht="12.75" customHeight="1" x14ac:dyDescent="0.2">
      <c r="A210" s="8">
        <v>50501000001966</v>
      </c>
      <c r="B210" s="9" t="s">
        <v>20</v>
      </c>
      <c r="C210" s="9" t="s">
        <v>21</v>
      </c>
      <c r="D210" s="9" t="s">
        <v>481</v>
      </c>
      <c r="E210" s="9" t="s">
        <v>23</v>
      </c>
      <c r="F210" s="9" t="s">
        <v>44</v>
      </c>
      <c r="G210" s="9">
        <v>16</v>
      </c>
      <c r="H210" s="9">
        <v>121</v>
      </c>
      <c r="I210" s="9">
        <v>104</v>
      </c>
      <c r="K210" s="9">
        <f t="shared" si="33"/>
        <v>0</v>
      </c>
      <c r="L210" s="9">
        <f t="shared" si="34"/>
        <v>0</v>
      </c>
      <c r="M210" s="9" t="s">
        <v>490</v>
      </c>
      <c r="N210" s="9" t="s">
        <v>491</v>
      </c>
      <c r="O210" s="9" t="s">
        <v>166</v>
      </c>
      <c r="P210" s="10">
        <v>0.72</v>
      </c>
      <c r="Q210" s="11">
        <v>27.579000000000001</v>
      </c>
      <c r="R210" s="12">
        <f t="shared" si="35"/>
        <v>0</v>
      </c>
      <c r="S210" s="12">
        <f t="shared" si="36"/>
        <v>0</v>
      </c>
      <c r="T210" s="9" t="s">
        <v>749</v>
      </c>
    </row>
    <row r="211" spans="1:20" ht="12.75" customHeight="1" x14ac:dyDescent="0.2">
      <c r="A211" s="8">
        <v>50501000001967</v>
      </c>
      <c r="B211" s="9" t="s">
        <v>20</v>
      </c>
      <c r="C211" s="9" t="s">
        <v>21</v>
      </c>
      <c r="D211" s="9" t="s">
        <v>481</v>
      </c>
      <c r="E211" s="9" t="s">
        <v>23</v>
      </c>
      <c r="F211" s="9" t="s">
        <v>47</v>
      </c>
      <c r="G211" s="9">
        <v>16</v>
      </c>
      <c r="H211" s="9">
        <v>128</v>
      </c>
      <c r="I211" s="9">
        <v>110</v>
      </c>
      <c r="K211" s="9">
        <f t="shared" si="33"/>
        <v>0</v>
      </c>
      <c r="L211" s="9">
        <f t="shared" si="34"/>
        <v>0</v>
      </c>
      <c r="M211" s="9" t="s">
        <v>492</v>
      </c>
      <c r="N211" s="9" t="s">
        <v>493</v>
      </c>
      <c r="O211" s="9" t="s">
        <v>166</v>
      </c>
      <c r="P211" s="10">
        <v>0.76800000000000002</v>
      </c>
      <c r="Q211" s="11">
        <v>29.327000000000002</v>
      </c>
      <c r="R211" s="12">
        <f t="shared" si="35"/>
        <v>0</v>
      </c>
      <c r="S211" s="12">
        <f t="shared" si="36"/>
        <v>0</v>
      </c>
      <c r="T211" s="9" t="s">
        <v>750</v>
      </c>
    </row>
    <row r="212" spans="1:20" ht="12.75" customHeight="1" x14ac:dyDescent="0.2">
      <c r="A212" s="8">
        <v>50501001070001</v>
      </c>
      <c r="B212" s="9" t="s">
        <v>20</v>
      </c>
      <c r="C212" s="9" t="s">
        <v>21</v>
      </c>
      <c r="D212" s="9" t="s">
        <v>494</v>
      </c>
      <c r="E212" s="9" t="s">
        <v>31</v>
      </c>
      <c r="F212" s="9" t="s">
        <v>24</v>
      </c>
      <c r="G212" s="9">
        <v>25</v>
      </c>
      <c r="H212" s="9">
        <v>59</v>
      </c>
      <c r="I212" s="9">
        <v>51</v>
      </c>
      <c r="K212" s="9">
        <f t="shared" si="33"/>
        <v>0</v>
      </c>
      <c r="L212" s="9">
        <f t="shared" si="34"/>
        <v>0</v>
      </c>
      <c r="M212" s="9" t="s">
        <v>495</v>
      </c>
      <c r="N212" s="9" t="s">
        <v>496</v>
      </c>
      <c r="O212" s="9" t="s">
        <v>27</v>
      </c>
      <c r="P212" s="10">
        <v>0.41099999999999998</v>
      </c>
      <c r="Q212" s="11">
        <v>17.87</v>
      </c>
      <c r="R212" s="12">
        <f t="shared" si="35"/>
        <v>0</v>
      </c>
      <c r="S212" s="12">
        <f t="shared" si="36"/>
        <v>0</v>
      </c>
      <c r="T212" s="9" t="s">
        <v>751</v>
      </c>
    </row>
    <row r="213" spans="1:20" ht="12.75" customHeight="1" x14ac:dyDescent="0.2">
      <c r="A213" s="8">
        <v>50501001070009</v>
      </c>
      <c r="B213" s="9" t="s">
        <v>20</v>
      </c>
      <c r="C213" s="9" t="s">
        <v>21</v>
      </c>
      <c r="D213" s="9" t="s">
        <v>494</v>
      </c>
      <c r="E213" s="9" t="s">
        <v>31</v>
      </c>
      <c r="F213" s="9" t="s">
        <v>28</v>
      </c>
      <c r="G213" s="9">
        <v>25</v>
      </c>
      <c r="H213" s="9">
        <v>59</v>
      </c>
      <c r="I213" s="9">
        <v>51</v>
      </c>
      <c r="K213" s="9">
        <f t="shared" si="33"/>
        <v>0</v>
      </c>
      <c r="L213" s="9">
        <f t="shared" si="34"/>
        <v>0</v>
      </c>
      <c r="M213" s="9" t="s">
        <v>497</v>
      </c>
      <c r="N213" s="9" t="s">
        <v>498</v>
      </c>
      <c r="O213" s="9" t="s">
        <v>27</v>
      </c>
      <c r="P213" s="10">
        <v>0.432</v>
      </c>
      <c r="Q213" s="11">
        <v>18.57</v>
      </c>
      <c r="R213" s="12">
        <f t="shared" si="35"/>
        <v>0</v>
      </c>
      <c r="S213" s="12">
        <f t="shared" si="36"/>
        <v>0</v>
      </c>
      <c r="T213" s="9" t="s">
        <v>752</v>
      </c>
    </row>
    <row r="214" spans="1:20" ht="12.75" customHeight="1" x14ac:dyDescent="0.2">
      <c r="A214" s="8">
        <v>50501001070002</v>
      </c>
      <c r="B214" s="9" t="s">
        <v>20</v>
      </c>
      <c r="C214" s="9" t="s">
        <v>21</v>
      </c>
      <c r="D214" s="9" t="s">
        <v>494</v>
      </c>
      <c r="E214" s="9" t="s">
        <v>31</v>
      </c>
      <c r="F214" s="9" t="s">
        <v>32</v>
      </c>
      <c r="G214" s="9">
        <v>25</v>
      </c>
      <c r="H214" s="9">
        <v>64</v>
      </c>
      <c r="I214" s="9">
        <v>55</v>
      </c>
      <c r="K214" s="9">
        <f t="shared" si="33"/>
        <v>0</v>
      </c>
      <c r="L214" s="9">
        <f t="shared" si="34"/>
        <v>0</v>
      </c>
      <c r="M214" s="9" t="s">
        <v>499</v>
      </c>
      <c r="N214" s="9" t="s">
        <v>500</v>
      </c>
      <c r="O214" s="9" t="s">
        <v>27</v>
      </c>
      <c r="P214" s="10">
        <v>0.48</v>
      </c>
      <c r="Q214" s="11">
        <v>20.59</v>
      </c>
      <c r="R214" s="12">
        <f t="shared" si="35"/>
        <v>0</v>
      </c>
      <c r="S214" s="12">
        <f t="shared" si="36"/>
        <v>0</v>
      </c>
      <c r="T214" s="9" t="s">
        <v>753</v>
      </c>
    </row>
    <row r="215" spans="1:20" x14ac:dyDescent="0.2">
      <c r="A215" s="8">
        <v>50501001070003</v>
      </c>
      <c r="B215" s="9" t="s">
        <v>20</v>
      </c>
      <c r="C215" s="9" t="s">
        <v>21</v>
      </c>
      <c r="D215" s="9" t="s">
        <v>494</v>
      </c>
      <c r="E215" s="9" t="s">
        <v>31</v>
      </c>
      <c r="F215" s="9" t="s">
        <v>35</v>
      </c>
      <c r="G215" s="9">
        <v>25</v>
      </c>
      <c r="H215" s="9">
        <v>73</v>
      </c>
      <c r="I215" s="9">
        <v>63</v>
      </c>
      <c r="K215" s="9">
        <f t="shared" si="33"/>
        <v>0</v>
      </c>
      <c r="L215" s="9">
        <f t="shared" si="34"/>
        <v>0</v>
      </c>
      <c r="M215" s="9" t="s">
        <v>501</v>
      </c>
      <c r="N215" s="9" t="s">
        <v>502</v>
      </c>
      <c r="O215" s="9" t="s">
        <v>27</v>
      </c>
      <c r="P215" s="10">
        <v>0.57599999999999996</v>
      </c>
      <c r="Q215" s="11">
        <v>24.58</v>
      </c>
      <c r="R215" s="12">
        <f t="shared" si="35"/>
        <v>0</v>
      </c>
      <c r="S215" s="12">
        <f t="shared" si="36"/>
        <v>0</v>
      </c>
      <c r="T215" s="9" t="s">
        <v>754</v>
      </c>
    </row>
    <row r="216" spans="1:20" x14ac:dyDescent="0.2">
      <c r="A216" s="8">
        <v>50501001070004</v>
      </c>
      <c r="B216" s="9" t="s">
        <v>20</v>
      </c>
      <c r="C216" s="9" t="s">
        <v>21</v>
      </c>
      <c r="D216" s="9" t="s">
        <v>494</v>
      </c>
      <c r="E216" s="9" t="s">
        <v>31</v>
      </c>
      <c r="F216" s="9" t="s">
        <v>38</v>
      </c>
      <c r="G216" s="9">
        <v>25</v>
      </c>
      <c r="H216" s="9">
        <v>78</v>
      </c>
      <c r="I216" s="9">
        <v>67</v>
      </c>
      <c r="K216" s="9">
        <f t="shared" si="33"/>
        <v>0</v>
      </c>
      <c r="L216" s="9">
        <f t="shared" si="34"/>
        <v>0</v>
      </c>
      <c r="M216" s="9" t="s">
        <v>503</v>
      </c>
      <c r="N216" s="9" t="s">
        <v>504</v>
      </c>
      <c r="O216" s="9" t="s">
        <v>27</v>
      </c>
      <c r="P216" s="10">
        <v>0.63900000000000001</v>
      </c>
      <c r="Q216" s="11">
        <v>27.54</v>
      </c>
      <c r="R216" s="12">
        <f t="shared" si="35"/>
        <v>0</v>
      </c>
      <c r="S216" s="12">
        <f t="shared" si="36"/>
        <v>0</v>
      </c>
      <c r="T216" s="9" t="s">
        <v>755</v>
      </c>
    </row>
    <row r="217" spans="1:20" x14ac:dyDescent="0.2">
      <c r="A217" s="8">
        <v>50501001070006</v>
      </c>
      <c r="B217" s="9" t="s">
        <v>20</v>
      </c>
      <c r="C217" s="9" t="s">
        <v>21</v>
      </c>
      <c r="D217" s="9" t="s">
        <v>494</v>
      </c>
      <c r="E217" s="9" t="s">
        <v>31</v>
      </c>
      <c r="F217" s="9" t="s">
        <v>44</v>
      </c>
      <c r="G217" s="9">
        <v>25</v>
      </c>
      <c r="H217" s="9">
        <v>86</v>
      </c>
      <c r="I217" s="9">
        <v>74</v>
      </c>
      <c r="K217" s="9">
        <f t="shared" si="33"/>
        <v>0</v>
      </c>
      <c r="L217" s="9">
        <f t="shared" si="34"/>
        <v>0</v>
      </c>
      <c r="M217" s="9" t="s">
        <v>505</v>
      </c>
      <c r="N217" s="9" t="s">
        <v>506</v>
      </c>
      <c r="O217" s="9" t="s">
        <v>27</v>
      </c>
      <c r="P217" s="10">
        <v>0.72</v>
      </c>
      <c r="Q217" s="11">
        <v>30.62</v>
      </c>
      <c r="R217" s="12">
        <f t="shared" si="35"/>
        <v>0</v>
      </c>
      <c r="S217" s="12">
        <f t="shared" si="36"/>
        <v>0</v>
      </c>
      <c r="T217" s="9" t="s">
        <v>756</v>
      </c>
    </row>
    <row r="218" spans="1:20" ht="12.75" customHeight="1" x14ac:dyDescent="0.2">
      <c r="A218" s="8">
        <v>50501001070007</v>
      </c>
      <c r="B218" s="9" t="s">
        <v>20</v>
      </c>
      <c r="C218" s="9" t="s">
        <v>21</v>
      </c>
      <c r="D218" s="9" t="s">
        <v>494</v>
      </c>
      <c r="E218" s="9" t="s">
        <v>31</v>
      </c>
      <c r="F218" s="9" t="s">
        <v>47</v>
      </c>
      <c r="G218" s="9">
        <v>25</v>
      </c>
      <c r="H218" s="9">
        <v>91</v>
      </c>
      <c r="I218" s="9">
        <v>78</v>
      </c>
      <c r="K218" s="9">
        <f t="shared" si="33"/>
        <v>0</v>
      </c>
      <c r="L218" s="9">
        <f t="shared" si="34"/>
        <v>0</v>
      </c>
      <c r="M218" s="9" t="s">
        <v>507</v>
      </c>
      <c r="N218" s="9" t="s">
        <v>508</v>
      </c>
      <c r="O218" s="9" t="s">
        <v>27</v>
      </c>
      <c r="P218" s="10">
        <v>0.76800000000000002</v>
      </c>
      <c r="Q218" s="11">
        <v>32.68</v>
      </c>
      <c r="R218" s="12">
        <f t="shared" si="35"/>
        <v>0</v>
      </c>
      <c r="S218" s="12">
        <f t="shared" si="36"/>
        <v>0</v>
      </c>
      <c r="T218" s="9" t="s">
        <v>757</v>
      </c>
    </row>
    <row r="219" spans="1:20" ht="12.75" customHeight="1" x14ac:dyDescent="0.2">
      <c r="A219" s="8">
        <v>50501001190001</v>
      </c>
      <c r="B219" s="9" t="s">
        <v>20</v>
      </c>
      <c r="C219" s="9" t="s">
        <v>21</v>
      </c>
      <c r="D219" s="9" t="s">
        <v>509</v>
      </c>
      <c r="E219" s="9" t="s">
        <v>23</v>
      </c>
      <c r="F219" s="9" t="s">
        <v>93</v>
      </c>
      <c r="G219" s="9">
        <v>23</v>
      </c>
      <c r="H219" s="9">
        <v>80</v>
      </c>
      <c r="I219" s="9">
        <v>69</v>
      </c>
      <c r="K219" s="9">
        <f t="shared" si="33"/>
        <v>0</v>
      </c>
      <c r="L219" s="9">
        <f t="shared" si="34"/>
        <v>0</v>
      </c>
      <c r="M219" s="9" t="s">
        <v>510</v>
      </c>
      <c r="N219" s="9" t="s">
        <v>511</v>
      </c>
      <c r="O219" s="9" t="s">
        <v>27</v>
      </c>
      <c r="P219" s="10">
        <v>0.113</v>
      </c>
      <c r="Q219" s="11">
        <v>17.82</v>
      </c>
      <c r="R219" s="12">
        <f t="shared" si="35"/>
        <v>0</v>
      </c>
      <c r="S219" s="12">
        <f t="shared" si="36"/>
        <v>0</v>
      </c>
      <c r="T219" s="9" t="s">
        <v>758</v>
      </c>
    </row>
    <row r="220" spans="1:20" ht="14.25" customHeight="1" x14ac:dyDescent="0.2">
      <c r="A220" s="8">
        <v>50501001190003</v>
      </c>
      <c r="B220" s="9" t="s">
        <v>20</v>
      </c>
      <c r="C220" s="9" t="s">
        <v>21</v>
      </c>
      <c r="D220" s="9" t="s">
        <v>509</v>
      </c>
      <c r="E220" s="9" t="s">
        <v>23</v>
      </c>
      <c r="F220" s="9" t="s">
        <v>28</v>
      </c>
      <c r="G220" s="9">
        <v>23</v>
      </c>
      <c r="H220" s="9">
        <v>88</v>
      </c>
      <c r="I220" s="9">
        <v>76</v>
      </c>
      <c r="K220" s="9">
        <f t="shared" si="33"/>
        <v>0</v>
      </c>
      <c r="L220" s="9">
        <f t="shared" si="34"/>
        <v>0</v>
      </c>
      <c r="M220" s="9" t="s">
        <v>512</v>
      </c>
      <c r="N220" s="9" t="s">
        <v>513</v>
      </c>
      <c r="O220" s="9" t="s">
        <v>27</v>
      </c>
      <c r="P220" s="10">
        <v>0.125</v>
      </c>
      <c r="Q220" s="11">
        <v>19.559999999999999</v>
      </c>
      <c r="R220" s="12">
        <f t="shared" si="35"/>
        <v>0</v>
      </c>
      <c r="S220" s="12">
        <f t="shared" si="36"/>
        <v>0</v>
      </c>
      <c r="T220" s="9" t="s">
        <v>759</v>
      </c>
    </row>
    <row r="221" spans="1:20" ht="12.75" customHeight="1" x14ac:dyDescent="0.2">
      <c r="A221" s="8">
        <v>50501001190004</v>
      </c>
      <c r="B221" s="9" t="s">
        <v>20</v>
      </c>
      <c r="C221" s="9" t="s">
        <v>21</v>
      </c>
      <c r="D221" s="9" t="s">
        <v>509</v>
      </c>
      <c r="E221" s="9" t="s">
        <v>23</v>
      </c>
      <c r="F221" s="9" t="s">
        <v>32</v>
      </c>
      <c r="G221" s="9">
        <v>23</v>
      </c>
      <c r="H221" s="9">
        <v>96</v>
      </c>
      <c r="I221" s="9">
        <v>83</v>
      </c>
      <c r="K221" s="9">
        <f t="shared" si="33"/>
        <v>0</v>
      </c>
      <c r="L221" s="9">
        <f t="shared" si="34"/>
        <v>0</v>
      </c>
      <c r="M221" s="9" t="s">
        <v>514</v>
      </c>
      <c r="N221" s="9" t="s">
        <v>515</v>
      </c>
      <c r="O221" s="9" t="s">
        <v>27</v>
      </c>
      <c r="P221" s="10">
        <v>0.13800000000000001</v>
      </c>
      <c r="Q221" s="11">
        <v>21.27</v>
      </c>
      <c r="R221" s="12">
        <f t="shared" si="35"/>
        <v>0</v>
      </c>
      <c r="S221" s="12">
        <f t="shared" si="36"/>
        <v>0</v>
      </c>
      <c r="T221" s="9" t="s">
        <v>760</v>
      </c>
    </row>
    <row r="222" spans="1:20" ht="12.75" customHeight="1" x14ac:dyDescent="0.2">
      <c r="A222" s="8">
        <v>50501001190005</v>
      </c>
      <c r="B222" s="9" t="s">
        <v>20</v>
      </c>
      <c r="C222" s="9" t="s">
        <v>21</v>
      </c>
      <c r="D222" s="9" t="s">
        <v>509</v>
      </c>
      <c r="E222" s="9" t="s">
        <v>23</v>
      </c>
      <c r="F222" s="9" t="s">
        <v>35</v>
      </c>
      <c r="G222" s="9">
        <v>23</v>
      </c>
      <c r="H222" s="9">
        <v>110</v>
      </c>
      <c r="I222" s="9">
        <v>94</v>
      </c>
      <c r="K222" s="9">
        <f t="shared" si="33"/>
        <v>0</v>
      </c>
      <c r="L222" s="9">
        <f t="shared" si="34"/>
        <v>0</v>
      </c>
      <c r="M222" s="9" t="s">
        <v>516</v>
      </c>
      <c r="N222" s="9" t="s">
        <v>517</v>
      </c>
      <c r="O222" s="9" t="s">
        <v>27</v>
      </c>
      <c r="P222" s="10">
        <v>0.16200000000000001</v>
      </c>
      <c r="Q222" s="11">
        <v>25.77</v>
      </c>
      <c r="R222" s="12">
        <f t="shared" si="35"/>
        <v>0</v>
      </c>
      <c r="S222" s="12">
        <f t="shared" si="36"/>
        <v>0</v>
      </c>
      <c r="T222" s="9" t="s">
        <v>761</v>
      </c>
    </row>
    <row r="223" spans="1:20" ht="12.75" customHeight="1" x14ac:dyDescent="0.2">
      <c r="A223" s="8">
        <v>50501001190006</v>
      </c>
      <c r="B223" s="9" t="s">
        <v>20</v>
      </c>
      <c r="C223" s="9" t="s">
        <v>21</v>
      </c>
      <c r="D223" s="9" t="s">
        <v>509</v>
      </c>
      <c r="E223" s="9" t="s">
        <v>23</v>
      </c>
      <c r="F223" s="9" t="s">
        <v>41</v>
      </c>
      <c r="G223" s="9">
        <v>23</v>
      </c>
      <c r="H223" s="9">
        <v>123</v>
      </c>
      <c r="I223" s="9">
        <v>106</v>
      </c>
      <c r="K223" s="9">
        <f t="shared" si="33"/>
        <v>0</v>
      </c>
      <c r="L223" s="9">
        <f t="shared" si="34"/>
        <v>0</v>
      </c>
      <c r="M223" s="9" t="s">
        <v>518</v>
      </c>
      <c r="N223" s="9" t="s">
        <v>519</v>
      </c>
      <c r="O223" s="9" t="s">
        <v>27</v>
      </c>
      <c r="P223" s="10">
        <v>0.187</v>
      </c>
      <c r="Q223" s="11">
        <v>30.68</v>
      </c>
      <c r="R223" s="12">
        <f t="shared" si="35"/>
        <v>0</v>
      </c>
      <c r="S223" s="12">
        <f t="shared" si="36"/>
        <v>0</v>
      </c>
      <c r="T223" s="9" t="s">
        <v>762</v>
      </c>
    </row>
    <row r="224" spans="1:20" x14ac:dyDescent="0.2">
      <c r="A224" s="8">
        <v>50501001190007</v>
      </c>
      <c r="B224" s="9" t="s">
        <v>20</v>
      </c>
      <c r="C224" s="9" t="s">
        <v>21</v>
      </c>
      <c r="D224" s="9" t="s">
        <v>509</v>
      </c>
      <c r="E224" s="9" t="s">
        <v>23</v>
      </c>
      <c r="F224" s="9" t="s">
        <v>47</v>
      </c>
      <c r="G224" s="9">
        <v>23</v>
      </c>
      <c r="H224" s="9">
        <v>138</v>
      </c>
      <c r="I224" s="9">
        <v>119</v>
      </c>
      <c r="K224" s="9">
        <f t="shared" si="33"/>
        <v>0</v>
      </c>
      <c r="L224" s="9">
        <f t="shared" si="34"/>
        <v>0</v>
      </c>
      <c r="M224" s="9" t="s">
        <v>520</v>
      </c>
      <c r="N224" s="9" t="s">
        <v>521</v>
      </c>
      <c r="O224" s="9" t="s">
        <v>27</v>
      </c>
      <c r="P224" s="10">
        <v>0.21099999999999999</v>
      </c>
      <c r="Q224" s="11">
        <v>35.81</v>
      </c>
      <c r="R224" s="12">
        <f t="shared" si="35"/>
        <v>0</v>
      </c>
      <c r="S224" s="12">
        <f t="shared" si="36"/>
        <v>0</v>
      </c>
      <c r="T224" s="9" t="s">
        <v>763</v>
      </c>
    </row>
    <row r="225" spans="1:20" x14ac:dyDescent="0.2">
      <c r="A225" s="8">
        <v>50501001190008</v>
      </c>
      <c r="B225" s="9" t="s">
        <v>20</v>
      </c>
      <c r="C225" s="9" t="s">
        <v>21</v>
      </c>
      <c r="D225" s="9" t="s">
        <v>509</v>
      </c>
      <c r="E225" s="9" t="s">
        <v>23</v>
      </c>
      <c r="F225" s="9" t="s">
        <v>67</v>
      </c>
      <c r="G225" s="9">
        <v>23</v>
      </c>
      <c r="H225" s="9">
        <v>151</v>
      </c>
      <c r="I225" s="9">
        <v>130</v>
      </c>
      <c r="K225" s="9">
        <f t="shared" si="33"/>
        <v>0</v>
      </c>
      <c r="L225" s="9">
        <f t="shared" si="34"/>
        <v>0</v>
      </c>
      <c r="M225" s="9" t="s">
        <v>522</v>
      </c>
      <c r="N225" s="9" t="s">
        <v>523</v>
      </c>
      <c r="O225" s="9" t="s">
        <v>27</v>
      </c>
      <c r="P225" s="10">
        <v>0.23599999999999999</v>
      </c>
      <c r="Q225" s="11">
        <v>40.03</v>
      </c>
      <c r="R225" s="12">
        <f t="shared" si="35"/>
        <v>0</v>
      </c>
      <c r="S225" s="12">
        <f t="shared" si="36"/>
        <v>0</v>
      </c>
      <c r="T225" s="9" t="s">
        <v>764</v>
      </c>
    </row>
    <row r="226" spans="1:20" x14ac:dyDescent="0.2">
      <c r="A226" s="8">
        <v>50501001100001</v>
      </c>
      <c r="B226" s="9" t="s">
        <v>20</v>
      </c>
      <c r="C226" s="9" t="s">
        <v>21</v>
      </c>
      <c r="D226" s="9" t="s">
        <v>524</v>
      </c>
      <c r="E226" s="9" t="s">
        <v>23</v>
      </c>
      <c r="F226" s="9" t="s">
        <v>24</v>
      </c>
      <c r="G226" s="9">
        <v>33</v>
      </c>
      <c r="H226" s="9">
        <v>193</v>
      </c>
      <c r="I226" s="9">
        <v>166</v>
      </c>
      <c r="K226" s="9">
        <f t="shared" si="33"/>
        <v>0</v>
      </c>
      <c r="L226" s="9">
        <f t="shared" si="34"/>
        <v>0</v>
      </c>
      <c r="M226" s="9" t="s">
        <v>525</v>
      </c>
      <c r="N226" s="9" t="s">
        <v>526</v>
      </c>
      <c r="O226" s="9" t="s">
        <v>27</v>
      </c>
      <c r="P226" s="10">
        <v>0.56499999999999995</v>
      </c>
      <c r="Q226" s="11">
        <v>25.89</v>
      </c>
      <c r="R226" s="12">
        <f t="shared" si="35"/>
        <v>0</v>
      </c>
      <c r="S226" s="12">
        <f t="shared" si="36"/>
        <v>0</v>
      </c>
      <c r="T226" s="9" t="s">
        <v>765</v>
      </c>
    </row>
    <row r="227" spans="1:20" x14ac:dyDescent="0.2">
      <c r="A227" s="8">
        <v>50501001100002</v>
      </c>
      <c r="B227" s="9" t="s">
        <v>20</v>
      </c>
      <c r="C227" s="9" t="s">
        <v>21</v>
      </c>
      <c r="D227" s="9" t="s">
        <v>524</v>
      </c>
      <c r="E227" s="9" t="s">
        <v>31</v>
      </c>
      <c r="F227" s="9" t="s">
        <v>32</v>
      </c>
      <c r="G227" s="9">
        <v>33</v>
      </c>
      <c r="H227" s="9">
        <v>209</v>
      </c>
      <c r="I227" s="9">
        <v>180</v>
      </c>
      <c r="K227" s="9">
        <f t="shared" si="33"/>
        <v>0</v>
      </c>
      <c r="L227" s="9">
        <f t="shared" si="34"/>
        <v>0</v>
      </c>
      <c r="M227" s="9" t="s">
        <v>527</v>
      </c>
      <c r="N227" s="9" t="s">
        <v>528</v>
      </c>
      <c r="O227" s="9" t="s">
        <v>27</v>
      </c>
      <c r="P227" s="10">
        <v>0.66</v>
      </c>
      <c r="Q227" s="11">
        <v>28.69</v>
      </c>
      <c r="R227" s="12">
        <f t="shared" si="35"/>
        <v>0</v>
      </c>
      <c r="S227" s="12">
        <f t="shared" si="36"/>
        <v>0</v>
      </c>
      <c r="T227" s="9" t="s">
        <v>766</v>
      </c>
    </row>
    <row r="228" spans="1:20" x14ac:dyDescent="0.2">
      <c r="A228" s="8">
        <v>50501001100003</v>
      </c>
      <c r="B228" s="9" t="s">
        <v>20</v>
      </c>
      <c r="C228" s="9" t="s">
        <v>21</v>
      </c>
      <c r="D228" s="9" t="s">
        <v>524</v>
      </c>
      <c r="E228" s="9" t="s">
        <v>31</v>
      </c>
      <c r="F228" s="9" t="s">
        <v>35</v>
      </c>
      <c r="G228" s="9">
        <v>33</v>
      </c>
      <c r="H228" s="9">
        <v>232</v>
      </c>
      <c r="I228" s="9">
        <v>200</v>
      </c>
      <c r="K228" s="9">
        <f t="shared" si="33"/>
        <v>0</v>
      </c>
      <c r="L228" s="9">
        <f t="shared" si="34"/>
        <v>0</v>
      </c>
      <c r="M228" s="9" t="s">
        <v>529</v>
      </c>
      <c r="N228" s="9" t="s">
        <v>530</v>
      </c>
      <c r="O228" s="9" t="s">
        <v>27</v>
      </c>
      <c r="P228" s="10">
        <v>0.79200000000000004</v>
      </c>
      <c r="Q228" s="11">
        <v>34.15</v>
      </c>
      <c r="R228" s="12">
        <f t="shared" si="35"/>
        <v>0</v>
      </c>
      <c r="S228" s="12">
        <f t="shared" si="36"/>
        <v>0</v>
      </c>
      <c r="T228" s="9" t="s">
        <v>767</v>
      </c>
    </row>
    <row r="229" spans="1:20" x14ac:dyDescent="0.2">
      <c r="A229" s="8">
        <v>50501001100004</v>
      </c>
      <c r="B229" s="9" t="s">
        <v>20</v>
      </c>
      <c r="C229" s="9" t="s">
        <v>21</v>
      </c>
      <c r="D229" s="9" t="s">
        <v>524</v>
      </c>
      <c r="E229" s="9" t="s">
        <v>23</v>
      </c>
      <c r="F229" s="9" t="s">
        <v>38</v>
      </c>
      <c r="G229" s="9">
        <v>33</v>
      </c>
      <c r="H229" s="9">
        <v>260</v>
      </c>
      <c r="I229" s="9">
        <v>224</v>
      </c>
      <c r="K229" s="9">
        <f t="shared" si="33"/>
        <v>0</v>
      </c>
      <c r="L229" s="9">
        <f t="shared" si="34"/>
        <v>0</v>
      </c>
      <c r="M229" s="9" t="s">
        <v>531</v>
      </c>
      <c r="N229" s="9" t="s">
        <v>532</v>
      </c>
      <c r="O229" s="9" t="s">
        <v>27</v>
      </c>
      <c r="P229" s="10">
        <v>0.878</v>
      </c>
      <c r="Q229" s="11">
        <v>38.119999999999997</v>
      </c>
      <c r="R229" s="12">
        <f t="shared" si="35"/>
        <v>0</v>
      </c>
      <c r="S229" s="12">
        <f t="shared" si="36"/>
        <v>0</v>
      </c>
      <c r="T229" s="9" t="s">
        <v>768</v>
      </c>
    </row>
    <row r="230" spans="1:20" x14ac:dyDescent="0.2">
      <c r="A230" s="8">
        <v>50501001100006</v>
      </c>
      <c r="B230" s="9" t="s">
        <v>20</v>
      </c>
      <c r="C230" s="9" t="s">
        <v>21</v>
      </c>
      <c r="D230" s="9" t="s">
        <v>524</v>
      </c>
      <c r="E230" s="9" t="s">
        <v>31</v>
      </c>
      <c r="F230" s="9" t="s">
        <v>44</v>
      </c>
      <c r="G230" s="9">
        <v>33</v>
      </c>
      <c r="H230" s="9">
        <v>276</v>
      </c>
      <c r="I230" s="9">
        <v>238</v>
      </c>
      <c r="K230" s="9">
        <f t="shared" si="33"/>
        <v>0</v>
      </c>
      <c r="L230" s="9">
        <f t="shared" si="34"/>
        <v>0</v>
      </c>
      <c r="M230" s="9" t="s">
        <v>533</v>
      </c>
      <c r="N230" s="9" t="s">
        <v>534</v>
      </c>
      <c r="O230" s="9" t="s">
        <v>27</v>
      </c>
      <c r="P230" s="10">
        <v>0.99</v>
      </c>
      <c r="Q230" s="11">
        <v>42.7</v>
      </c>
      <c r="R230" s="12">
        <f t="shared" si="35"/>
        <v>0</v>
      </c>
      <c r="S230" s="12">
        <f t="shared" si="36"/>
        <v>0</v>
      </c>
      <c r="T230" s="9" t="s">
        <v>769</v>
      </c>
    </row>
    <row r="231" spans="1:20" x14ac:dyDescent="0.2">
      <c r="A231" s="8">
        <v>50501001100007</v>
      </c>
      <c r="B231" s="9" t="s">
        <v>20</v>
      </c>
      <c r="C231" s="9" t="s">
        <v>21</v>
      </c>
      <c r="D231" s="9" t="s">
        <v>524</v>
      </c>
      <c r="E231" s="9" t="s">
        <v>31</v>
      </c>
      <c r="F231" s="9" t="s">
        <v>47</v>
      </c>
      <c r="G231" s="9">
        <v>33</v>
      </c>
      <c r="H231" s="9">
        <v>294</v>
      </c>
      <c r="I231" s="9">
        <v>253</v>
      </c>
      <c r="K231" s="9">
        <f t="shared" si="33"/>
        <v>0</v>
      </c>
      <c r="L231" s="9">
        <f t="shared" si="34"/>
        <v>0</v>
      </c>
      <c r="M231" s="9" t="s">
        <v>535</v>
      </c>
      <c r="N231" s="9" t="s">
        <v>536</v>
      </c>
      <c r="O231" s="9" t="s">
        <v>27</v>
      </c>
      <c r="P231" s="10">
        <v>1.056</v>
      </c>
      <c r="Q231" s="11">
        <v>44.5</v>
      </c>
      <c r="R231" s="12">
        <f t="shared" si="35"/>
        <v>0</v>
      </c>
      <c r="S231" s="12">
        <f t="shared" si="36"/>
        <v>0</v>
      </c>
      <c r="T231" s="9" t="s">
        <v>770</v>
      </c>
    </row>
    <row r="232" spans="1:20" x14ac:dyDescent="0.2">
      <c r="A232" s="8">
        <v>50501001100008</v>
      </c>
      <c r="B232" s="9" t="s">
        <v>20</v>
      </c>
      <c r="C232" s="9" t="s">
        <v>21</v>
      </c>
      <c r="D232" s="9" t="s">
        <v>524</v>
      </c>
      <c r="E232" s="9" t="s">
        <v>31</v>
      </c>
      <c r="F232" s="9" t="s">
        <v>67</v>
      </c>
      <c r="G232" s="9">
        <v>33</v>
      </c>
      <c r="H232" s="9">
        <v>329</v>
      </c>
      <c r="I232" s="9">
        <v>283</v>
      </c>
      <c r="K232" s="9">
        <f t="shared" si="33"/>
        <v>0</v>
      </c>
      <c r="L232" s="9">
        <f t="shared" si="34"/>
        <v>0</v>
      </c>
      <c r="M232" s="9" t="s">
        <v>537</v>
      </c>
      <c r="N232" s="9" t="s">
        <v>538</v>
      </c>
      <c r="O232" s="9" t="s">
        <v>27</v>
      </c>
      <c r="P232" s="10">
        <v>1.1879999999999999</v>
      </c>
      <c r="Q232" s="11">
        <v>49.24</v>
      </c>
      <c r="R232" s="12">
        <f t="shared" si="35"/>
        <v>0</v>
      </c>
      <c r="S232" s="12">
        <f t="shared" si="36"/>
        <v>0</v>
      </c>
      <c r="T232" s="9" t="s">
        <v>771</v>
      </c>
    </row>
    <row r="233" spans="1:20" x14ac:dyDescent="0.2">
      <c r="A233" s="8">
        <v>50501001100010</v>
      </c>
      <c r="B233" s="9" t="s">
        <v>20</v>
      </c>
      <c r="C233" s="9" t="s">
        <v>21</v>
      </c>
      <c r="D233" s="9" t="s">
        <v>524</v>
      </c>
      <c r="E233" s="9" t="s">
        <v>23</v>
      </c>
      <c r="F233" s="9" t="s">
        <v>89</v>
      </c>
      <c r="G233" s="9">
        <v>33</v>
      </c>
      <c r="H233" s="9">
        <v>349</v>
      </c>
      <c r="I233" s="9">
        <v>301</v>
      </c>
      <c r="K233" s="9">
        <f t="shared" ref="K233:K264" si="37">H233*J233</f>
        <v>0</v>
      </c>
      <c r="L233" s="9">
        <f t="shared" si="34"/>
        <v>0</v>
      </c>
      <c r="M233" s="9" t="s">
        <v>539</v>
      </c>
      <c r="N233" s="9" t="s">
        <v>540</v>
      </c>
      <c r="O233" s="9" t="s">
        <v>27</v>
      </c>
      <c r="P233" s="10">
        <v>1.32</v>
      </c>
      <c r="Q233" s="11">
        <v>54.07</v>
      </c>
      <c r="R233" s="12">
        <f t="shared" si="35"/>
        <v>0</v>
      </c>
      <c r="S233" s="12">
        <f t="shared" si="36"/>
        <v>0</v>
      </c>
      <c r="T233" s="9" t="s">
        <v>772</v>
      </c>
    </row>
  </sheetData>
  <autoFilter ref="A1:V233">
    <sortState ref="A2:W235">
      <sortCondition ref="D1:D23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Ozdemir</dc:creator>
  <cp:lastModifiedBy>Serkan Ozdemir</cp:lastModifiedBy>
  <dcterms:created xsi:type="dcterms:W3CDTF">2026-07-24T10:21:19Z</dcterms:created>
  <dcterms:modified xsi:type="dcterms:W3CDTF">2026-07-24T11:03:03Z</dcterms:modified>
</cp:coreProperties>
</file>